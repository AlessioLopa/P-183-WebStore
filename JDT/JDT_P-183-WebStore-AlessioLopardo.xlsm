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E3DD3786-2B5B-4200-B687-297D1468F758}" xr6:coauthVersionLast="47" xr6:coauthVersionMax="47" xr10:uidLastSave="{00000000-0000-0000-0000-000000000000}"/>
  <bookViews>
    <workbookView xWindow="-110" yWindow="-110" windowWidth="25820" windowHeight="139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B36" i="12"/>
  <c r="C35" i="12"/>
  <c r="C34" i="12"/>
  <c r="C33" i="12"/>
  <c r="C32" i="12"/>
  <c r="C31" i="12"/>
  <c r="B48" i="12"/>
  <c r="C47" i="12"/>
  <c r="C46" i="12"/>
  <c r="C45" i="12"/>
  <c r="C44" i="12"/>
  <c r="C10" i="15"/>
  <c r="C9" i="15"/>
  <c r="C8" i="15"/>
  <c r="C7" i="15"/>
  <c r="C6" i="15"/>
  <c r="C5" i="15"/>
  <c r="C4" i="15"/>
  <c r="C3" i="15"/>
  <c r="B11" i="15"/>
  <c r="C10" i="16"/>
  <c r="C9" i="16"/>
  <c r="C8" i="16"/>
  <c r="C7" i="16"/>
  <c r="C6" i="16"/>
  <c r="C5" i="16"/>
  <c r="C4" i="16"/>
  <c r="C3" i="16"/>
  <c r="B11" i="16"/>
  <c r="D51" i="1"/>
  <c r="D88" i="1"/>
  <c r="D89" i="1"/>
  <c r="D47" i="1"/>
  <c r="D84" i="1"/>
  <c r="C11" i="16"/>
  <c r="D24" i="1"/>
  <c r="D19" i="1"/>
  <c r="D59" i="1"/>
  <c r="D35" i="1"/>
  <c r="D20" i="1"/>
  <c r="D29" i="1"/>
  <c r="D61" i="1"/>
  <c r="D65" i="1"/>
  <c r="D67" i="1"/>
  <c r="D43" i="1"/>
  <c r="D77" i="1"/>
  <c r="D55" i="1"/>
  <c r="D79" i="1"/>
  <c r="D41" i="1"/>
  <c r="D76" i="1"/>
  <c r="D83" i="1"/>
  <c r="D42" i="1"/>
  <c r="D33" i="1"/>
  <c r="D44" i="1"/>
  <c r="D81" i="1"/>
  <c r="D38" i="1"/>
  <c r="D21" i="1"/>
  <c r="D17" i="1"/>
  <c r="D82" i="1"/>
  <c r="D62" i="1"/>
  <c r="D54" i="1"/>
  <c r="D34" i="1"/>
  <c r="D50" i="1"/>
  <c r="D92" i="1"/>
  <c r="D93" i="1"/>
  <c r="D36" i="1"/>
  <c r="D49" i="1"/>
  <c r="D27" i="1"/>
  <c r="D31" i="1"/>
  <c r="D57" i="1"/>
  <c r="D78" i="1"/>
  <c r="D58" i="1"/>
  <c r="D60" i="1"/>
  <c r="D72" i="1"/>
  <c r="D52" i="1"/>
  <c r="D18" i="1"/>
  <c r="D94" i="1"/>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D70" i="1"/>
  <c r="D30" i="1"/>
  <c r="D80" i="1"/>
  <c r="D45" i="1"/>
  <c r="C7" i="12"/>
  <c r="C6" i="12"/>
  <c r="C5" i="12"/>
  <c r="C4" i="12"/>
  <c r="C12" i="12"/>
  <c r="C36" i="12"/>
  <c r="C28" i="12"/>
  <c r="C43" i="12"/>
  <c r="C30" i="12"/>
  <c r="C48" i="12"/>
  <c r="C41" i="12"/>
  <c r="C17" i="12"/>
  <c r="C29" i="12"/>
  <c r="C42" i="12"/>
  <c r="C18" i="12"/>
  <c r="C20" i="12"/>
  <c r="C40" i="12"/>
  <c r="C19" i="12"/>
  <c r="C24" i="12"/>
  <c r="C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<sst xmlns="http://schemas.openxmlformats.org/spreadsheetml/2006/main" count="228" uniqueCount="81">
  <si>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</si>
  <si>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</si>
  <si>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</si>
  <si>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</si>
  <si>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</si>
  <si>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</si>
  <si>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</si>
  <si>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</si>
  <si>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</si>
  <si>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</si>
  <si>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</si>
  <si>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</si>
  <si>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</si>
  <si>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</si>
  <si>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</si>
  <si>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</si>
  <si>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</si>
  <si>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</si>
  <si>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</si>
  <si>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</si>
  <si>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</si>
  <si>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</si>
  <si>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</si>
  <si>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</si>
  <si>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</si>
  <si>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</si>
  <si>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</si>
  <si>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</si>
  <si>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</si>
  <si>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</si>
  <si>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</si>
  <si>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</si>
  <si>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</si>
  <si>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</si>
  <si>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</si>
  <si>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</si>
  <si>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</si>
  <si>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</si>
  <si>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</si>
  <si>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</si>
  <si>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</si>
  <si>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</si>
  <si>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</si>
  <si>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</si>
  <si>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</si>
  <si>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</si>
  <si>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</si>
  <si>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</si>
  <si>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</si>
  <si>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</si>
  <si>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</si>
  <si>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</si>
  <si>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</si>
  <si>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</si>
  <si>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</si>
  <si>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</si>
  <si>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</si>
  <si>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</si>
  <si>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</si>
  <si>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</si>
  <si>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</si>
  <si>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</si>
  <si>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</si>
  <si>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</si>
  <si>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</si>
  <si>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</si>
  <si>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</si>
  <si>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</si>
  <si>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</si>
  <si>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</si>
  <si>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</si>
  <si>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</si>
  <si>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</si>
  <si>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</si>
  <si>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</si>
  <si>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</si>
  <si>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</si>
  <si>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Authentification avec le JWT</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</si>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</sst>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1" fillId="0" borderId="32" xfId="1" applyBorder="1" applyAlignment="1" applyProtection="1">
      <alignment horizontal="center" vertical="top" wrapText="1"/>
      <protection locked="0"/>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81" t="s">
        <v>28</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73" t="str">
        <f>E96</f>
        <v>0h</v>
      </c>
      <c r="H9" s="173"/>
      <c r="I9" s="173"/>
      <c r="J9" s="173"/>
      <c r="K9" s="173"/>
      <c r="L9" s="173"/>
      <c r="M9" s="173"/>
      <c r="N9" s="173"/>
      <c r="O9" s="173"/>
      <c r="P9" s="173"/>
      <c r="Q9" s="173"/>
      <c r="R9" s="173"/>
      <c r="S9" s="173"/>
      <c r="T9" s="173"/>
      <c r="U9" s="173"/>
      <c r="V9" s="103"/>
      <c r="W9" s="172" t="s">
        <v>20</v>
      </c>
      <c r="X9" s="172"/>
      <c r="Y9" s="172"/>
      <c r="Z9" s="172"/>
      <c r="AA9" s="172"/>
      <c r="AB9" s="172"/>
      <c r="AC9" s="172"/>
      <c r="AD9" s="172"/>
      <c r="AE9" s="172"/>
      <c r="AF9" s="172"/>
      <c r="AG9" s="172"/>
      <c r="AH9" s="173" t="str">
        <f>E98</f>
        <v>0h</v>
      </c>
      <c r="AI9" s="173"/>
      <c r="AJ9" s="173"/>
      <c r="AK9" s="173"/>
      <c r="AL9" s="173"/>
      <c r="AM9" s="173"/>
      <c r="AN9" s="173"/>
      <c r="AO9" s="173"/>
      <c r="AP9" s="173"/>
      <c r="AQ9" s="173"/>
      <c r="AR9" s="173"/>
      <c r="AS9" s="173"/>
      <c r="AT9" s="173"/>
      <c r="AU9" s="173"/>
      <c r="AV9" s="173"/>
      <c r="AW9" s="17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67"/>
      <c r="CS10" s="167"/>
      <c r="CT10" s="167"/>
      <c r="CU10" s="167"/>
      <c r="CV10" s="167"/>
      <c r="CW10" s="167"/>
      <c r="CX10" s="167"/>
      <c r="CY10" s="167"/>
      <c r="CZ10" s="167"/>
      <c r="DA10" s="167"/>
      <c r="DB10" s="167"/>
      <c r="DC10" s="167"/>
      <c r="DD10" s="167"/>
      <c r="DE10" s="167"/>
      <c r="DF10" s="167"/>
      <c r="DG10" s="167"/>
      <c r="DH10" s="167"/>
      <c r="DI10" s="167"/>
      <c r="DJ10" s="167"/>
      <c r="DK10" s="167"/>
      <c r="DL10" s="167"/>
      <c r="DM10" s="167"/>
      <c r="DN10" s="167"/>
      <c r="DO10" s="167"/>
      <c r="DP10" s="167"/>
      <c r="DQ10" s="167"/>
      <c r="DR10" s="167"/>
      <c r="DS10" s="167"/>
      <c r="DT10" s="167"/>
      <c r="DU10" s="167"/>
      <c r="DV10" s="167"/>
      <c r="DW10" s="167"/>
      <c r="DX10" s="167"/>
      <c r="DY10" s="167"/>
      <c r="DZ10" s="167"/>
      <c r="EA10" s="167"/>
      <c r="EB10" s="167"/>
      <c r="EC10" s="167"/>
      <c r="ED10" s="167"/>
      <c r="EE10" s="167"/>
      <c r="EF10" s="167"/>
      <c r="EG10" s="167"/>
      <c r="EH10" s="167"/>
      <c r="EI10" s="167"/>
      <c r="EJ10" s="167"/>
      <c r="EK10" s="167"/>
      <c r="EL10" s="167"/>
      <c r="EM10" s="167"/>
      <c r="EN10" s="167"/>
      <c r="EO10" s="167"/>
      <c r="EP10" s="167"/>
      <c r="EQ10" s="167"/>
      <c r="ER10" s="167"/>
      <c r="ES10" s="167"/>
      <c r="ET10" s="167"/>
      <c r="EU10" s="167"/>
      <c r="EV10" s="167"/>
      <c r="EW10" s="167"/>
      <c r="EX10" s="167"/>
      <c r="EY10" s="167"/>
      <c r="EZ10" s="167"/>
      <c r="FA10" s="167"/>
      <c r="FB10" s="167"/>
      <c r="FC10" s="167"/>
      <c r="FD10" s="167"/>
      <c r="FE10" s="167"/>
      <c r="FF10" s="167"/>
      <c r="FG10" s="167"/>
      <c r="FH10" s="167"/>
      <c r="FI10" s="167"/>
      <c r="FJ10" s="167"/>
      <c r="FK10" s="167"/>
      <c r="FL10" s="167"/>
      <c r="FM10" s="167"/>
      <c r="FN10" s="167"/>
      <c r="FO10" s="167"/>
      <c r="FP10" s="167"/>
      <c r="FQ10" s="167"/>
      <c r="FR10" s="167"/>
      <c r="FS10" s="167"/>
      <c r="FT10" s="167"/>
      <c r="FU10" s="167"/>
      <c r="FV10" s="167"/>
      <c r="FW10" s="167"/>
      <c r="FX10" s="167"/>
      <c r="FY10" s="167"/>
      <c r="FZ10" s="167"/>
      <c r="GA10" s="167"/>
      <c r="GB10" s="167"/>
      <c r="GC10" s="167"/>
      <c r="GD10" s="75"/>
    </row>
    <row r="11" spans="1:186" ht="20.149999999999999" customHeight="1" x14ac:dyDescent="0.35">
      <c r="B11" s="53"/>
      <c r="C11" s="179"/>
      <c r="D11" s="179"/>
      <c r="E11" s="179"/>
      <c r="F11" s="171" t="s">
        <v>39</v>
      </c>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c r="BM11" s="171"/>
      <c r="BN11" s="171" t="s">
        <v>39</v>
      </c>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c r="CN11" s="171"/>
      <c r="CO11" s="171"/>
      <c r="CP11" s="171"/>
      <c r="CQ11" s="171"/>
      <c r="CR11" s="171"/>
      <c r="CS11" s="171"/>
      <c r="CT11" s="171"/>
      <c r="CU11" s="171"/>
      <c r="CV11" s="171"/>
      <c r="CW11" s="171"/>
      <c r="CX11" s="171"/>
      <c r="CY11" s="171"/>
      <c r="CZ11" s="171"/>
      <c r="DA11" s="171"/>
      <c r="DB11" s="171"/>
      <c r="DC11" s="171"/>
      <c r="DD11" s="171"/>
      <c r="DE11" s="171"/>
      <c r="DF11" s="171"/>
      <c r="DG11" s="171"/>
      <c r="DH11" s="171"/>
      <c r="DI11" s="171"/>
      <c r="DJ11" s="171"/>
      <c r="DK11" s="171"/>
      <c r="DL11" s="171"/>
      <c r="DM11" s="171"/>
      <c r="DN11" s="171"/>
      <c r="DO11" s="171"/>
      <c r="DP11" s="171"/>
      <c r="DQ11" s="171"/>
      <c r="DR11" s="171"/>
      <c r="DS11" s="171"/>
      <c r="DT11" s="171"/>
      <c r="DU11" s="171"/>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80"/>
      <c r="D12" s="180"/>
      <c r="E12" s="180"/>
      <c r="F12" s="170" t="s">
        <v>40</v>
      </c>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t="s">
        <v>40</v>
      </c>
      <c r="BO12" s="170"/>
      <c r="BP12" s="170"/>
      <c r="BQ12" s="170"/>
      <c r="BR12" s="170"/>
      <c r="BS12" s="170"/>
      <c r="BT12" s="170"/>
      <c r="BU12" s="170"/>
      <c r="BV12" s="170"/>
      <c r="BW12" s="170"/>
      <c r="BX12" s="170"/>
      <c r="BY12" s="170"/>
      <c r="BZ12" s="170"/>
      <c r="CA12" s="170"/>
      <c r="CB12" s="170"/>
      <c r="CC12" s="170"/>
      <c r="CD12" s="170"/>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0"/>
      <c r="DR12" s="170"/>
      <c r="DS12" s="170"/>
      <c r="DT12" s="170"/>
      <c r="DU12" s="170"/>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75" t="s">
        <v>6</v>
      </c>
      <c r="D13" s="128"/>
      <c r="E13" s="177" t="s">
        <v>36</v>
      </c>
      <c r="F13" s="151" t="s">
        <v>7</v>
      </c>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3"/>
      <c r="BN13" s="151" t="s">
        <v>25</v>
      </c>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2"/>
      <c r="CO13" s="152"/>
      <c r="CP13" s="152"/>
      <c r="CQ13" s="152"/>
      <c r="CR13" s="152"/>
      <c r="CS13" s="152"/>
      <c r="CT13" s="152"/>
      <c r="CU13" s="152"/>
      <c r="CV13" s="152"/>
      <c r="CW13" s="152"/>
      <c r="CX13" s="152"/>
      <c r="CY13" s="152"/>
      <c r="CZ13" s="152"/>
      <c r="DA13" s="152"/>
      <c r="DB13" s="152"/>
      <c r="DC13" s="152"/>
      <c r="DD13" s="152"/>
      <c r="DE13" s="152"/>
      <c r="DF13" s="152"/>
      <c r="DG13" s="152"/>
      <c r="DH13" s="152"/>
      <c r="DI13" s="152"/>
      <c r="DJ13" s="152"/>
      <c r="DK13" s="152"/>
      <c r="DL13" s="152"/>
      <c r="DM13" s="152"/>
      <c r="DN13" s="152"/>
      <c r="DO13" s="152"/>
      <c r="DP13" s="152"/>
      <c r="DQ13" s="152"/>
      <c r="DR13" s="152"/>
      <c r="DS13" s="152"/>
      <c r="DT13" s="152"/>
      <c r="DU13" s="153"/>
      <c r="DV13" s="151" t="s">
        <v>16</v>
      </c>
      <c r="DW13" s="152"/>
      <c r="DX13" s="152"/>
      <c r="DY13" s="152"/>
      <c r="DZ13" s="152"/>
      <c r="EA13" s="152"/>
      <c r="EB13" s="152"/>
      <c r="EC13" s="152"/>
      <c r="ED13" s="152"/>
      <c r="EE13" s="152"/>
      <c r="EF13" s="152"/>
      <c r="EG13" s="152"/>
      <c r="EH13" s="152"/>
      <c r="EI13" s="152"/>
      <c r="EJ13" s="152"/>
      <c r="EK13" s="152"/>
      <c r="EL13" s="152"/>
      <c r="EM13" s="152"/>
      <c r="EN13" s="152"/>
      <c r="EO13" s="152"/>
      <c r="EP13" s="152"/>
      <c r="EQ13" s="152"/>
      <c r="ER13" s="152"/>
      <c r="ES13" s="152"/>
      <c r="ET13" s="152"/>
      <c r="EU13" s="152"/>
      <c r="EV13" s="152"/>
      <c r="EW13" s="152"/>
      <c r="EX13" s="152"/>
      <c r="EY13" s="152"/>
      <c r="EZ13" s="152"/>
      <c r="FA13" s="152"/>
      <c r="FB13" s="152"/>
      <c r="FC13" s="152"/>
      <c r="FD13" s="152"/>
      <c r="FE13" s="152"/>
      <c r="FF13" s="152"/>
      <c r="FG13" s="152"/>
      <c r="FH13" s="152"/>
      <c r="FI13" s="152"/>
      <c r="FJ13" s="152"/>
      <c r="FK13" s="152"/>
      <c r="FL13" s="152"/>
      <c r="FM13" s="152"/>
      <c r="FN13" s="152"/>
      <c r="FO13" s="152"/>
      <c r="FP13" s="152"/>
      <c r="FQ13" s="152"/>
      <c r="FR13" s="152"/>
      <c r="FS13" s="152"/>
      <c r="FT13" s="152"/>
      <c r="FU13" s="152"/>
      <c r="FV13" s="152"/>
      <c r="FW13" s="152"/>
      <c r="FX13" s="152"/>
      <c r="FY13" s="152"/>
      <c r="FZ13" s="152"/>
      <c r="GA13" s="152"/>
      <c r="GB13" s="152"/>
      <c r="GC13" s="153"/>
      <c r="GD13" s="75"/>
    </row>
    <row r="14" spans="1:186" ht="12.75" customHeight="1" thickBot="1" x14ac:dyDescent="0.35">
      <c r="B14" s="53"/>
      <c r="C14" s="176"/>
      <c r="D14" s="129"/>
      <c r="E14" s="178"/>
      <c r="F14" s="87"/>
      <c r="G14" s="88"/>
      <c r="H14" s="88"/>
      <c r="I14" s="88"/>
      <c r="J14" s="154" t="s">
        <v>31</v>
      </c>
      <c r="K14" s="154"/>
      <c r="L14" s="154"/>
      <c r="M14" s="154"/>
      <c r="N14" s="88"/>
      <c r="O14" s="88"/>
      <c r="P14" s="155" t="s">
        <v>21</v>
      </c>
      <c r="Q14" s="155"/>
      <c r="R14" s="155"/>
      <c r="S14" s="155"/>
      <c r="T14" s="112"/>
      <c r="U14" s="112"/>
      <c r="V14" s="154" t="s">
        <v>32</v>
      </c>
      <c r="W14" s="154"/>
      <c r="X14" s="154"/>
      <c r="Y14" s="154"/>
      <c r="Z14" s="88"/>
      <c r="AA14" s="88"/>
      <c r="AB14" s="155" t="s">
        <v>22</v>
      </c>
      <c r="AC14" s="155"/>
      <c r="AD14" s="155"/>
      <c r="AE14" s="155"/>
      <c r="AF14" s="112"/>
      <c r="AG14" s="112"/>
      <c r="AH14" s="154" t="s">
        <v>33</v>
      </c>
      <c r="AI14" s="154"/>
      <c r="AJ14" s="154"/>
      <c r="AK14" s="154"/>
      <c r="AL14" s="88"/>
      <c r="AM14" s="88"/>
      <c r="AN14" s="155" t="s">
        <v>23</v>
      </c>
      <c r="AO14" s="155"/>
      <c r="AP14" s="155"/>
      <c r="AQ14" s="155"/>
      <c r="AR14" s="112"/>
      <c r="AS14" s="112"/>
      <c r="AT14" s="154" t="s">
        <v>34</v>
      </c>
      <c r="AU14" s="154"/>
      <c r="AV14" s="154"/>
      <c r="AW14" s="154"/>
      <c r="AX14" s="88"/>
      <c r="AY14" s="88"/>
      <c r="AZ14" s="155" t="s">
        <v>24</v>
      </c>
      <c r="BA14" s="155"/>
      <c r="BB14" s="155"/>
      <c r="BC14" s="155"/>
      <c r="BD14" s="112"/>
      <c r="BE14" s="112"/>
      <c r="BF14" s="154" t="s">
        <v>35</v>
      </c>
      <c r="BG14" s="154"/>
      <c r="BH14" s="154"/>
      <c r="BI14" s="154"/>
      <c r="BJ14" s="88"/>
      <c r="BK14" s="88"/>
      <c r="BL14" s="88"/>
      <c r="BM14" s="89"/>
      <c r="BN14" s="87"/>
      <c r="BO14" s="88"/>
      <c r="BP14" s="88"/>
      <c r="BQ14" s="88"/>
      <c r="BR14" s="154" t="s">
        <v>31</v>
      </c>
      <c r="BS14" s="154"/>
      <c r="BT14" s="154"/>
      <c r="BU14" s="154"/>
      <c r="BV14" s="88"/>
      <c r="BW14" s="88"/>
      <c r="BX14" s="155" t="s">
        <v>21</v>
      </c>
      <c r="BY14" s="155"/>
      <c r="BZ14" s="155"/>
      <c r="CA14" s="155"/>
      <c r="CB14" s="112"/>
      <c r="CC14" s="112"/>
      <c r="CD14" s="154" t="s">
        <v>32</v>
      </c>
      <c r="CE14" s="154"/>
      <c r="CF14" s="154"/>
      <c r="CG14" s="154"/>
      <c r="CH14" s="88"/>
      <c r="CI14" s="88"/>
      <c r="CJ14" s="155" t="s">
        <v>22</v>
      </c>
      <c r="CK14" s="155"/>
      <c r="CL14" s="155"/>
      <c r="CM14" s="155"/>
      <c r="CN14" s="112"/>
      <c r="CO14" s="112"/>
      <c r="CP14" s="154" t="s">
        <v>33</v>
      </c>
      <c r="CQ14" s="154"/>
      <c r="CR14" s="154"/>
      <c r="CS14" s="154"/>
      <c r="CT14" s="88"/>
      <c r="CU14" s="88"/>
      <c r="CV14" s="155" t="s">
        <v>23</v>
      </c>
      <c r="CW14" s="155"/>
      <c r="CX14" s="155"/>
      <c r="CY14" s="155"/>
      <c r="CZ14" s="112"/>
      <c r="DA14" s="112"/>
      <c r="DB14" s="154" t="s">
        <v>34</v>
      </c>
      <c r="DC14" s="154"/>
      <c r="DD14" s="154"/>
      <c r="DE14" s="154"/>
      <c r="DF14" s="88"/>
      <c r="DG14" s="88"/>
      <c r="DH14" s="155" t="s">
        <v>24</v>
      </c>
      <c r="DI14" s="155"/>
      <c r="DJ14" s="155"/>
      <c r="DK14" s="155"/>
      <c r="DL14" s="112"/>
      <c r="DM14" s="112"/>
      <c r="DN14" s="154" t="s">
        <v>35</v>
      </c>
      <c r="DO14" s="154"/>
      <c r="DP14" s="154"/>
      <c r="DQ14" s="154"/>
      <c r="DR14" s="88"/>
      <c r="DS14" s="88"/>
      <c r="DT14" s="88"/>
      <c r="DU14" s="89"/>
      <c r="DV14" s="87"/>
      <c r="DW14" s="88"/>
      <c r="DX14" s="88"/>
      <c r="DY14" s="88"/>
      <c r="DZ14" s="154" t="s">
        <v>31</v>
      </c>
      <c r="EA14" s="154"/>
      <c r="EB14" s="154"/>
      <c r="EC14" s="154"/>
      <c r="ED14" s="88"/>
      <c r="EE14" s="88"/>
      <c r="EF14" s="155" t="s">
        <v>21</v>
      </c>
      <c r="EG14" s="155"/>
      <c r="EH14" s="155"/>
      <c r="EI14" s="155"/>
      <c r="EJ14" s="112"/>
      <c r="EK14" s="112"/>
      <c r="EL14" s="154" t="s">
        <v>32</v>
      </c>
      <c r="EM14" s="154"/>
      <c r="EN14" s="154"/>
      <c r="EO14" s="154"/>
      <c r="EP14" s="88"/>
      <c r="EQ14" s="88"/>
      <c r="ER14" s="155" t="s">
        <v>22</v>
      </c>
      <c r="ES14" s="155"/>
      <c r="ET14" s="155"/>
      <c r="EU14" s="155"/>
      <c r="EV14" s="112"/>
      <c r="EW14" s="112"/>
      <c r="EX14" s="154" t="s">
        <v>33</v>
      </c>
      <c r="EY14" s="154"/>
      <c r="EZ14" s="154"/>
      <c r="FA14" s="154"/>
      <c r="FB14" s="88"/>
      <c r="FC14" s="88"/>
      <c r="FD14" s="155" t="s">
        <v>23</v>
      </c>
      <c r="FE14" s="155"/>
      <c r="FF14" s="155"/>
      <c r="FG14" s="155"/>
      <c r="FH14" s="112"/>
      <c r="FI14" s="112"/>
      <c r="FJ14" s="154" t="s">
        <v>34</v>
      </c>
      <c r="FK14" s="154"/>
      <c r="FL14" s="154"/>
      <c r="FM14" s="154"/>
      <c r="FN14" s="88"/>
      <c r="FO14" s="88"/>
      <c r="FP14" s="155" t="s">
        <v>24</v>
      </c>
      <c r="FQ14" s="155"/>
      <c r="FR14" s="155"/>
      <c r="FS14" s="155"/>
      <c r="FT14" s="112"/>
      <c r="FU14" s="112"/>
      <c r="FV14" s="154" t="s">
        <v>35</v>
      </c>
      <c r="FW14" s="154"/>
      <c r="FX14" s="154"/>
      <c r="FY14" s="154"/>
      <c r="FZ14" s="88"/>
      <c r="GA14" s="88"/>
      <c r="GB14" s="88"/>
      <c r="GC14" s="89"/>
      <c r="GD14" s="75"/>
    </row>
    <row r="15" spans="1:186" ht="20.149999999999999" customHeight="1" x14ac:dyDescent="0.25">
      <c r="A15" s="84" t="s">
        <v>17</v>
      </c>
      <c r="B15" s="53" t="str">
        <f>IF(LEN(C15)=0,"",C15)</f>
        <v/>
      </c>
      <c r="C15" s="160"/>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61"/>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60"/>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61"/>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60"/>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62"/>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60"/>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62"/>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60"/>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62"/>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60"/>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61"/>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60"/>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61"/>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60"/>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61"/>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60"/>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61"/>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60"/>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61"/>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60"/>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62"/>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60"/>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61"/>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60"/>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62"/>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60"/>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61"/>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60"/>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61"/>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60"/>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62"/>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60"/>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61"/>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60"/>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61"/>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60"/>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62"/>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60"/>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61"/>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60"/>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62"/>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60"/>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61"/>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60"/>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61"/>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60"/>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62"/>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60"/>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61"/>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60"/>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61"/>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60"/>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62"/>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60"/>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61"/>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60"/>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62"/>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60"/>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61"/>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60"/>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61"/>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60"/>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62"/>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60"/>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61"/>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60"/>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61"/>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60"/>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62"/>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60"/>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61"/>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60"/>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62"/>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60"/>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61"/>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60"/>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61"/>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60"/>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62"/>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56" t="s">
        <v>8</v>
      </c>
      <c r="D95" s="15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58"/>
      <c r="D96" s="15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63" t="s">
        <v>9</v>
      </c>
      <c r="D97" s="164"/>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65"/>
      <c r="D98" s="166"/>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88900</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88900</xdr:rowOff>
              </from>
              <to>
                <xdr:col>3</xdr:col>
                <xdr:colOff>425450</xdr:colOff>
                <xdr:row>0</xdr:row>
                <xdr:rowOff>584200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tabSelected="1" zoomScaleNormal="100" zoomScaleSheetLayoutView="98" workbookViewId="0">
      <pane ySplit="1" topLeftCell="A2" activePane="bottomLeft" state="frozen"/>
      <selection pane="bottomLeft" activeCell="D7" sqref="D7"/>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4</v>
      </c>
      <c r="C2" s="148"/>
      <c r="D2" s="141" t="s">
        <v>14</v>
      </c>
      <c r="E2" s="142">
        <v>45420</v>
      </c>
      <c r="F2" s="143"/>
      <c r="G2" s="39"/>
    </row>
    <row r="3" spans="1:7" s="40" customFormat="1" ht="30" customHeight="1" thickBot="1" x14ac:dyDescent="0.3">
      <c r="A3" s="63" t="s">
        <v>4</v>
      </c>
      <c r="B3" s="145" t="s">
        <v>37</v>
      </c>
      <c r="C3" s="144"/>
      <c r="D3" s="63" t="s">
        <v>12</v>
      </c>
      <c r="E3" s="189" t="s">
        <v>13</v>
      </c>
      <c r="F3" s="190"/>
      <c r="G3" s="39"/>
    </row>
    <row r="4" spans="1:7" s="44" customFormat="1" ht="58.5" customHeight="1" x14ac:dyDescent="0.25">
      <c r="A4" s="41" t="s">
        <v>72</v>
      </c>
      <c r="B4" s="42">
        <v>12</v>
      </c>
      <c r="C4" s="136" t="str">
        <f xml:space="preserve"> IF(B4="","",setValueToTime(B4))</f>
        <v>1h</v>
      </c>
      <c r="D4" s="43" t="s">
        <v>73</v>
      </c>
      <c r="E4" s="198" t="s">
        <v>80</v>
      </c>
      <c r="F4" s="192"/>
      <c r="G4" s="3"/>
    </row>
    <row r="5" spans="1:7" s="44" customFormat="1" ht="25" x14ac:dyDescent="0.25">
      <c r="A5" s="45" t="s">
        <v>74</v>
      </c>
      <c r="B5" s="46">
        <v>3</v>
      </c>
      <c r="C5" s="137" t="str">
        <f t="shared" ref="C5:C11" si="0" xml:space="preserve"> IF(B5="","",setValueToTime(B5))</f>
        <v>0h15min</v>
      </c>
      <c r="D5" s="47" t="s">
        <v>75</v>
      </c>
      <c r="E5" s="183"/>
      <c r="F5" s="184"/>
      <c r="G5" s="3"/>
    </row>
    <row r="6" spans="1:7" s="44" customFormat="1" ht="12.5" x14ac:dyDescent="0.25">
      <c r="A6" s="45" t="s">
        <v>76</v>
      </c>
      <c r="B6" s="46">
        <v>9</v>
      </c>
      <c r="C6" s="137" t="str">
        <f t="shared" si="0"/>
        <v>0h45min</v>
      </c>
      <c r="D6" s="47" t="s">
        <v>77</v>
      </c>
      <c r="E6" s="183"/>
      <c r="F6" s="184"/>
      <c r="G6" s="3"/>
    </row>
    <row r="7" spans="1:7" s="44" customFormat="1" ht="25" x14ac:dyDescent="0.25">
      <c r="A7" s="45" t="s">
        <v>78</v>
      </c>
      <c r="B7" s="46">
        <v>12</v>
      </c>
      <c r="C7" s="137" t="str">
        <f t="shared" si="0"/>
        <v>1h</v>
      </c>
      <c r="D7" s="47" t="s">
        <v>79</v>
      </c>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36</v>
      </c>
      <c r="C12" s="146" t="str">
        <f xml:space="preserve"> setValueToTime(B12)</f>
        <v>3h</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3</v>
      </c>
      <c r="C14" s="148"/>
      <c r="D14" s="141" t="s">
        <v>14</v>
      </c>
      <c r="E14" s="142">
        <v>45413</v>
      </c>
      <c r="F14" s="143"/>
      <c r="G14" s="39"/>
    </row>
    <row r="15" spans="1:7" s="40" customFormat="1" ht="30" customHeight="1" thickBot="1" x14ac:dyDescent="0.3">
      <c r="A15" s="63" t="s">
        <v>4</v>
      </c>
      <c r="B15" s="145" t="s">
        <v>37</v>
      </c>
      <c r="C15" s="144"/>
      <c r="D15" s="63" t="s">
        <v>12</v>
      </c>
      <c r="E15" s="189" t="s">
        <v>13</v>
      </c>
      <c r="F15" s="190"/>
      <c r="G15" s="39"/>
    </row>
    <row r="16" spans="1:7" s="44" customFormat="1" ht="37.5" x14ac:dyDescent="0.25">
      <c r="A16" s="41" t="s">
        <v>62</v>
      </c>
      <c r="B16" s="42">
        <v>6</v>
      </c>
      <c r="C16" s="136" t="str">
        <f xml:space="preserve"> IF(B16="","",setValueToTime(B16))</f>
        <v>0h30min</v>
      </c>
      <c r="D16" s="43" t="s">
        <v>63</v>
      </c>
      <c r="E16" s="191"/>
      <c r="F16" s="192"/>
      <c r="G16" s="3"/>
    </row>
    <row r="17" spans="1:7" s="44" customFormat="1" ht="62.5" x14ac:dyDescent="0.25">
      <c r="A17" s="45" t="s">
        <v>64</v>
      </c>
      <c r="B17" s="46">
        <v>6</v>
      </c>
      <c r="C17" s="137" t="str">
        <f t="shared" ref="C17:C23" si="1" xml:space="preserve"> IF(B17="","",setValueToTime(B17))</f>
        <v>0h30min</v>
      </c>
      <c r="D17" s="47" t="s">
        <v>65</v>
      </c>
      <c r="E17" s="183"/>
      <c r="F17" s="184"/>
      <c r="G17" s="3"/>
    </row>
    <row r="18" spans="1:7" s="44" customFormat="1" ht="50" x14ac:dyDescent="0.25">
      <c r="A18" s="45" t="s">
        <v>66</v>
      </c>
      <c r="B18" s="46">
        <v>12</v>
      </c>
      <c r="C18" s="137" t="str">
        <f t="shared" si="1"/>
        <v>1h</v>
      </c>
      <c r="D18" s="47" t="s">
        <v>67</v>
      </c>
      <c r="E18" s="183"/>
      <c r="F18" s="184"/>
      <c r="G18" s="3"/>
    </row>
    <row r="19" spans="1:7" s="44" customFormat="1" ht="50" x14ac:dyDescent="0.25">
      <c r="A19" s="45" t="s">
        <v>68</v>
      </c>
      <c r="B19" s="46">
        <v>9</v>
      </c>
      <c r="C19" s="137" t="str">
        <f t="shared" si="1"/>
        <v>0h45min</v>
      </c>
      <c r="D19" s="47" t="s">
        <v>69</v>
      </c>
      <c r="E19" s="183"/>
      <c r="F19" s="184"/>
      <c r="G19" s="3"/>
    </row>
    <row r="20" spans="1:7" s="44" customFormat="1" ht="25" x14ac:dyDescent="0.25">
      <c r="A20" s="46" t="s">
        <v>71</v>
      </c>
      <c r="B20" s="46">
        <v>3</v>
      </c>
      <c r="C20" s="138" t="str">
        <f t="shared" si="1"/>
        <v>0h15min</v>
      </c>
      <c r="D20" s="47" t="s">
        <v>70</v>
      </c>
      <c r="E20" s="183"/>
      <c r="F20" s="184"/>
      <c r="G20" s="3"/>
    </row>
    <row r="21" spans="1:7" s="44" customFormat="1" ht="12.5" x14ac:dyDescent="0.25">
      <c r="A21" s="46"/>
      <c r="B21" s="46"/>
      <c r="C21" s="138" t="str">
        <f t="shared" si="1"/>
        <v/>
      </c>
      <c r="D21" s="47"/>
      <c r="E21" s="183"/>
      <c r="F21" s="184"/>
      <c r="G21" s="3"/>
    </row>
    <row r="22" spans="1:7" s="44" customFormat="1" ht="12.5" x14ac:dyDescent="0.25">
      <c r="A22" s="46"/>
      <c r="B22" s="46"/>
      <c r="C22" s="138" t="str">
        <f t="shared" si="1"/>
        <v/>
      </c>
      <c r="D22" s="47"/>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36</v>
      </c>
      <c r="C24" s="146" t="str">
        <f xml:space="preserve"> setValueToTime(B24)</f>
        <v>3h</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2</v>
      </c>
      <c r="C26" s="148"/>
      <c r="D26" s="141" t="s">
        <v>14</v>
      </c>
      <c r="E26" s="142">
        <v>45406</v>
      </c>
      <c r="F26" s="143"/>
      <c r="G26" s="39"/>
    </row>
    <row r="27" spans="1:7" s="40" customFormat="1" ht="30" customHeight="1" thickBot="1" x14ac:dyDescent="0.3">
      <c r="A27" s="63" t="s">
        <v>4</v>
      </c>
      <c r="B27" s="145" t="s">
        <v>37</v>
      </c>
      <c r="C27" s="144"/>
      <c r="D27" s="63" t="s">
        <v>12</v>
      </c>
      <c r="E27" s="189" t="s">
        <v>13</v>
      </c>
      <c r="F27" s="190"/>
      <c r="G27" s="39"/>
    </row>
    <row r="28" spans="1:7" s="44" customFormat="1" ht="25" x14ac:dyDescent="0.25">
      <c r="A28" s="41" t="s">
        <v>55</v>
      </c>
      <c r="B28" s="42">
        <v>12</v>
      </c>
      <c r="C28" s="136" t="str">
        <f xml:space="preserve"> IF(B28="","",setValueToTime(B28))</f>
        <v>1h</v>
      </c>
      <c r="D28" s="43" t="s">
        <v>56</v>
      </c>
      <c r="E28" s="191"/>
      <c r="F28" s="192"/>
      <c r="G28" s="3"/>
    </row>
    <row r="29" spans="1:7" s="44" customFormat="1" ht="62.5" x14ac:dyDescent="0.25">
      <c r="A29" s="45" t="s">
        <v>57</v>
      </c>
      <c r="B29" s="46">
        <v>9</v>
      </c>
      <c r="C29" s="137" t="str">
        <f t="shared" ref="C29:C35" si="2" xml:space="preserve"> IF(B29="","",setValueToTime(B29))</f>
        <v>0h45min</v>
      </c>
      <c r="D29" s="47" t="s">
        <v>58</v>
      </c>
      <c r="E29" s="183"/>
      <c r="F29" s="184"/>
      <c r="G29" s="3"/>
    </row>
    <row r="30" spans="1:7" s="44" customFormat="1" ht="50" x14ac:dyDescent="0.25">
      <c r="A30" s="45" t="s">
        <v>59</v>
      </c>
      <c r="B30" s="46">
        <v>15</v>
      </c>
      <c r="C30" s="137" t="str">
        <f t="shared" si="2"/>
        <v>1h15min</v>
      </c>
      <c r="D30" s="47" t="s">
        <v>61</v>
      </c>
      <c r="E30" s="193" t="s">
        <v>60</v>
      </c>
      <c r="F30" s="184"/>
      <c r="G30" s="3"/>
    </row>
    <row r="31" spans="1:7" s="44" customFormat="1" ht="12.5" x14ac:dyDescent="0.25">
      <c r="A31" s="45"/>
      <c r="B31" s="46"/>
      <c r="C31" s="137" t="str">
        <f t="shared" si="2"/>
        <v/>
      </c>
      <c r="D31" s="47"/>
      <c r="E31" s="183"/>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36</v>
      </c>
      <c r="C36" s="146" t="str">
        <f xml:space="preserve"> setValueToTime(B36)</f>
        <v>3h</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1</v>
      </c>
      <c r="C38" s="148"/>
      <c r="D38" s="141" t="s">
        <v>14</v>
      </c>
      <c r="E38" s="142">
        <v>45399</v>
      </c>
      <c r="F38" s="143"/>
      <c r="G38" s="39"/>
    </row>
    <row r="39" spans="1:7" s="40" customFormat="1" ht="30" customHeight="1" thickBot="1" x14ac:dyDescent="0.3">
      <c r="A39" s="63" t="s">
        <v>4</v>
      </c>
      <c r="B39" s="145" t="s">
        <v>37</v>
      </c>
      <c r="C39" s="144"/>
      <c r="D39" s="63" t="s">
        <v>12</v>
      </c>
      <c r="E39" s="189" t="s">
        <v>13</v>
      </c>
      <c r="F39" s="190"/>
      <c r="G39" s="39"/>
    </row>
    <row r="40" spans="1:7" s="44" customFormat="1" ht="37.5" x14ac:dyDescent="0.25">
      <c r="A40" s="41" t="s">
        <v>45</v>
      </c>
      <c r="B40" s="42">
        <v>9</v>
      </c>
      <c r="C40" s="136" t="str">
        <f xml:space="preserve"> IF(B40="","",setValueToTime(B40))</f>
        <v>0h45min</v>
      </c>
      <c r="D40" s="43" t="s">
        <v>46</v>
      </c>
      <c r="E40" s="191"/>
      <c r="F40" s="192"/>
      <c r="G40" s="3"/>
    </row>
    <row r="41" spans="1:7" s="44" customFormat="1" ht="37.5" x14ac:dyDescent="0.25">
      <c r="A41" s="45" t="s">
        <v>47</v>
      </c>
      <c r="B41" s="46">
        <v>9</v>
      </c>
      <c r="C41" s="137" t="str">
        <f t="shared" ref="C41:C47" si="3" xml:space="preserve"> IF(B41="","",setValueToTime(B41))</f>
        <v>0h45min</v>
      </c>
      <c r="D41" s="47" t="s">
        <v>48</v>
      </c>
      <c r="E41" s="183"/>
      <c r="F41" s="184"/>
      <c r="G41" s="3"/>
    </row>
    <row r="42" spans="1:7" s="44" customFormat="1" ht="36" customHeight="1" x14ac:dyDescent="0.25">
      <c r="A42" s="45" t="s">
        <v>50</v>
      </c>
      <c r="B42" s="46">
        <v>9</v>
      </c>
      <c r="C42" s="137" t="str">
        <f xml:space="preserve"> IF(B42="","",setValueToTime(B42))</f>
        <v>0h45min</v>
      </c>
      <c r="D42" s="47" t="s">
        <v>53</v>
      </c>
      <c r="E42" s="193" t="s">
        <v>52</v>
      </c>
      <c r="F42" s="184"/>
      <c r="G42" s="3"/>
    </row>
    <row r="43" spans="1:7" s="44" customFormat="1" ht="50" x14ac:dyDescent="0.25">
      <c r="A43" s="45" t="s">
        <v>51</v>
      </c>
      <c r="B43" s="46">
        <v>9</v>
      </c>
      <c r="C43" s="137" t="str">
        <f xml:space="preserve"> IF(B43="","",setValueToTime(B43))</f>
        <v>0h45min</v>
      </c>
      <c r="D43" s="47" t="s">
        <v>54</v>
      </c>
      <c r="E43" s="193" t="s">
        <v>49</v>
      </c>
      <c r="F43" s="184"/>
      <c r="G43" s="3"/>
    </row>
    <row r="44" spans="1:7" s="44" customFormat="1" ht="12.5" x14ac:dyDescent="0.25">
      <c r="A44" s="46"/>
      <c r="B44" s="46"/>
      <c r="C44" s="138" t="str">
        <f t="shared" si="3"/>
        <v/>
      </c>
      <c r="D44" s="47"/>
      <c r="E44" s="183"/>
      <c r="F44" s="184"/>
      <c r="G44" s="3"/>
    </row>
    <row r="45" spans="1:7" s="44" customFormat="1" ht="12.5" x14ac:dyDescent="0.25">
      <c r="A45" s="46"/>
      <c r="B45" s="46"/>
      <c r="C45" s="138" t="str">
        <f t="shared" si="3"/>
        <v/>
      </c>
      <c r="D45" s="47"/>
      <c r="E45" s="183"/>
      <c r="F45" s="184"/>
      <c r="G45" s="3"/>
    </row>
    <row r="46" spans="1:7" s="44" customFormat="1" ht="12.5" x14ac:dyDescent="0.25">
      <c r="A46" s="46"/>
      <c r="B46" s="46"/>
      <c r="C46" s="138" t="str">
        <f t="shared" si="3"/>
        <v/>
      </c>
      <c r="D46" s="47"/>
      <c r="E46" s="183"/>
      <c r="F46" s="184"/>
      <c r="G46" s="3"/>
    </row>
    <row r="47" spans="1:7" s="44" customFormat="1" ht="13" thickBot="1" x14ac:dyDescent="0.3">
      <c r="A47" s="48"/>
      <c r="B47" s="48"/>
      <c r="C47" s="139" t="str">
        <f t="shared" si="3"/>
        <v/>
      </c>
      <c r="D47" s="49"/>
      <c r="E47" s="185"/>
      <c r="F47" s="186"/>
      <c r="G47" s="3"/>
    </row>
    <row r="48" spans="1:7" s="44" customFormat="1" ht="13" thickBot="1" x14ac:dyDescent="0.3">
      <c r="A48" s="146" t="s">
        <v>26</v>
      </c>
      <c r="B48" s="68">
        <f>SUM(B40:B47)</f>
        <v>36</v>
      </c>
      <c r="C48" s="146" t="str">
        <f xml:space="preserve"> setValueToTime(B48)</f>
        <v>3h</v>
      </c>
      <c r="D48" s="105"/>
      <c r="E48" s="187"/>
      <c r="F48" s="188"/>
      <c r="G48" s="3"/>
    </row>
    <row r="49" spans="1:7" s="44" customFormat="1" x14ac:dyDescent="0.25">
      <c r="A49" s="62"/>
      <c r="B49" s="62"/>
      <c r="C49" s="62"/>
      <c r="D49" s="62"/>
      <c r="E49" s="62"/>
      <c r="F49" s="62"/>
      <c r="G49" s="3"/>
    </row>
  </sheetData>
  <sheetProtection formatRows="0" insertRows="0" insertHyperlinks="0" deleteRows="0" selectLockedCells="1"/>
  <mergeCells count="40">
    <mergeCell ref="E8:F8"/>
    <mergeCell ref="E9:F9"/>
    <mergeCell ref="E10:F10"/>
    <mergeCell ref="E11:F11"/>
    <mergeCell ref="E12:F12"/>
    <mergeCell ref="E3:F3"/>
    <mergeCell ref="E4:F4"/>
    <mergeCell ref="E5:F5"/>
    <mergeCell ref="E6:F6"/>
    <mergeCell ref="E7:F7"/>
    <mergeCell ref="E45:F45"/>
    <mergeCell ref="E46:F46"/>
    <mergeCell ref="E47:F47"/>
    <mergeCell ref="E48:F48"/>
    <mergeCell ref="E39:F39"/>
    <mergeCell ref="E40:F40"/>
    <mergeCell ref="E41:F41"/>
    <mergeCell ref="E42:F42"/>
    <mergeCell ref="E43:F43"/>
    <mergeCell ref="E44:F44"/>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FD20DB42-6E5F-412E-A8E2-A910B9673906}">
      <formula1>0</formula1>
      <formula2>60</formula2>
    </dataValidation>
    <dataValidation type="list" allowBlank="1" showInputMessage="1" showErrorMessage="1" sqref="A40:A47 A28:A35 A16:A23 A4:A11" xr:uid="{F4214AE3-BD51-4830-A202-0C539249822B}">
      <formula1>ListeTaches</formula1>
    </dataValidation>
  </dataValidations>
  <hyperlinks>
    <hyperlink ref="E42" r:id="rId1" xr:uid="{DE5C25EB-DBFB-48CD-9A18-CA90E7358E08}"/>
    <hyperlink ref="E43" r:id="rId2" xr:uid="{A5BA8772-AB6A-47AA-BC99-6177C6996A94}"/>
    <hyperlink ref="E30" r:id="rId3" xr:uid="{04F2625D-09C7-46B6-8CFE-C398A0A77C86}"/>
    <hyperlink ref="E4"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107950</xdr:colOff>
                <xdr:row>0</xdr:row>
                <xdr:rowOff>88900</xdr:rowOff>
              </from>
              <to>
                <xdr:col>1</xdr:col>
                <xdr:colOff>393700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88900</xdr:colOff>
                <xdr:row>0</xdr:row>
                <xdr:rowOff>88900</xdr:rowOff>
              </from>
              <to>
                <xdr:col>3</xdr:col>
                <xdr:colOff>889000</xdr:colOff>
                <xdr:row>0</xdr:row>
                <xdr:rowOff>565150</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7"/>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51" t="s">
        <v>11</v>
      </c>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3"/>
      <c r="BI13" s="75"/>
    </row>
    <row r="14" spans="1:61" ht="15.5" thickBot="1" x14ac:dyDescent="0.35">
      <c r="A14" s="87"/>
      <c r="B14" s="88"/>
      <c r="C14" s="88"/>
      <c r="D14" s="88"/>
      <c r="E14" s="154" t="s">
        <v>31</v>
      </c>
      <c r="F14" s="154"/>
      <c r="G14" s="154"/>
      <c r="H14" s="154"/>
      <c r="I14" s="88"/>
      <c r="J14" s="88"/>
      <c r="K14" s="155" t="s">
        <v>21</v>
      </c>
      <c r="L14" s="155"/>
      <c r="M14" s="155"/>
      <c r="N14" s="155"/>
      <c r="O14" s="112"/>
      <c r="P14" s="112"/>
      <c r="Q14" s="154" t="s">
        <v>32</v>
      </c>
      <c r="R14" s="154"/>
      <c r="S14" s="154"/>
      <c r="T14" s="154"/>
      <c r="U14" s="88"/>
      <c r="V14" s="88"/>
      <c r="W14" s="155" t="s">
        <v>22</v>
      </c>
      <c r="X14" s="155"/>
      <c r="Y14" s="155"/>
      <c r="Z14" s="155"/>
      <c r="AA14" s="112"/>
      <c r="AB14" s="112"/>
      <c r="AC14" s="154" t="s">
        <v>33</v>
      </c>
      <c r="AD14" s="154"/>
      <c r="AE14" s="154"/>
      <c r="AF14" s="154"/>
      <c r="AG14" s="88"/>
      <c r="AH14" s="88"/>
      <c r="AI14" s="155" t="s">
        <v>23</v>
      </c>
      <c r="AJ14" s="155"/>
      <c r="AK14" s="155"/>
      <c r="AL14" s="155"/>
      <c r="AM14" s="112"/>
      <c r="AN14" s="112"/>
      <c r="AO14" s="154" t="s">
        <v>34</v>
      </c>
      <c r="AP14" s="154"/>
      <c r="AQ14" s="154"/>
      <c r="AR14" s="154"/>
      <c r="AS14" s="88"/>
      <c r="AT14" s="88"/>
      <c r="AU14" s="155" t="s">
        <v>24</v>
      </c>
      <c r="AV14" s="155"/>
      <c r="AW14" s="155"/>
      <c r="AX14" s="155"/>
      <c r="AY14" s="112"/>
      <c r="AZ14" s="112"/>
      <c r="BA14" s="154" t="s">
        <v>35</v>
      </c>
      <c r="BB14" s="154"/>
      <c r="BC14" s="154"/>
      <c r="BD14" s="15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6" t="s">
        <v>13</v>
      </c>
      <c r="F2" s="197"/>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4"/>
      <c r="F11" s="195"/>
      <c r="G11" s="3"/>
    </row>
    <row r="12" spans="1:7" s="44" customFormat="1" x14ac:dyDescent="0.25">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2024-05-08T09:25:05Z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