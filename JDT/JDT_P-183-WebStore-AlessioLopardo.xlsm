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C:\Users\Alessio\Documents\GitHub\P-183-WebStore\JDT\"/>
    </mc:Choice>
  </mc:AlternateContent>
  <xr:revisionPtr revIDLastSave="0" documentId="13_ncr:1_{7DC073ED-69F3-4ACD-9DCF-7537E8412E93}" xr6:coauthVersionLast="47" xr6:coauthVersionMax="47" xr10:uidLastSave="{00000000-0000-0000-0000-000000000000}"/>
  <bookViews>
    <workbookView xWindow="4830" yWindow="1910" windowWidth="19200" windowHeight="997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B24" i="12"/>
  <c r="C23" i="12"/>
  <c r="C22" i="12"/>
  <c r="C21" i="12"/>
  <c r="C20" i="12"/>
  <c r="C19" i="12"/>
  <c r="B36" i="12"/>
  <c r="C35" i="12"/>
  <c r="B48" i="12"/>
  <c r="B60" i="12"/>
  <c r="C59" i="12"/>
  <c r="C58" i="12"/>
  <c r="C57" i="12"/>
  <c r="C56" i="12"/>
  <c r="B72" i="12"/>
  <c r="C71" i="12"/>
  <c r="C70" i="12"/>
  <c r="C69" i="12"/>
  <c r="B84" i="12"/>
  <c r="C83" i="12"/>
  <c r="C82" i="12"/>
  <c r="C81" i="12"/>
  <c r="C80" i="12"/>
  <c r="C79" i="12"/>
  <c r="B96" i="12"/>
  <c r="C95" i="12"/>
  <c r="C94" i="12"/>
  <c r="C93" i="12"/>
  <c r="C92" i="12"/>
  <c r="C10" i="15"/>
  <c r="C9" i="15"/>
  <c r="C8" i="15"/>
  <c r="C7" i="15"/>
  <c r="C6" i="15"/>
  <c r="C5" i="15"/>
  <c r="C4" i="15"/>
  <c r="C3" i="15"/>
  <c r="B11" i="15"/>
  <c r="C10" i="16"/>
  <c r="C9" i="16"/>
  <c r="C8" i="16"/>
  <c r="C7" i="16"/>
  <c r="C6" i="16"/>
  <c r="C5" i="16"/>
  <c r="C4" i="16"/>
  <c r="C3" i="16"/>
  <c r="B11" i="16"/>
  <c r="D51" i="1"/>
  <c r="D88" i="1"/>
  <c r="D89" i="1"/>
  <c r="D47" i="1"/>
  <c r="D84" i="1"/>
  <c r="C11" i="16"/>
  <c r="D24" i="1"/>
  <c r="D19" i="1"/>
  <c r="D59" i="1"/>
  <c r="D35" i="1"/>
  <c r="D20" i="1"/>
  <c r="D29" i="1"/>
  <c r="D61" i="1"/>
  <c r="D65" i="1"/>
  <c r="D67" i="1"/>
  <c r="D43" i="1"/>
  <c r="D77" i="1"/>
  <c r="D55" i="1"/>
  <c r="D79" i="1"/>
  <c r="D41" i="1"/>
  <c r="D76" i="1"/>
  <c r="D83" i="1"/>
  <c r="D42" i="1"/>
  <c r="D33" i="1"/>
  <c r="D44" i="1"/>
  <c r="D81" i="1"/>
  <c r="D38" i="1"/>
  <c r="D21" i="1"/>
  <c r="D17" i="1"/>
  <c r="D82" i="1"/>
  <c r="D62" i="1"/>
  <c r="D54" i="1"/>
  <c r="D34" i="1"/>
  <c r="D50" i="1"/>
  <c r="D92" i="1"/>
  <c r="D93" i="1"/>
  <c r="D36" i="1"/>
  <c r="D49" i="1"/>
  <c r="D27" i="1"/>
  <c r="D31" i="1"/>
  <c r="D57" i="1"/>
  <c r="D78" i="1"/>
  <c r="D58" i="1"/>
  <c r="D60" i="1"/>
  <c r="D72" i="1"/>
  <c r="D52" i="1"/>
  <c r="D18" i="1"/>
  <c r="D94" i="1"/>
  <c r="D46" i="1"/>
  <c r="D91" i="1"/>
  <c r="C11" i="15"/>
  <c r="D16" i="1"/>
  <c r="D40" i="1"/>
  <c r="D23" i="1"/>
  <c r="D64" i="1"/>
  <c r="D86" i="1"/>
  <c r="D56" i="1"/>
  <c r="D66" i="1"/>
  <c r="D90" i="1"/>
  <c r="D74" i="1"/>
  <c r="D53" i="1"/>
  <c r="D48" i="1"/>
  <c r="D37" i="1"/>
  <c r="D75" i="1"/>
  <c r="D22" i="1"/>
  <c r="D39" i="1"/>
  <c r="D85" i="1"/>
  <c r="D15" i="1"/>
  <c r="D28" i="1"/>
  <c r="D63" i="1"/>
  <c r="D73" i="1"/>
  <c r="D71" i="1"/>
  <c r="D26" i="1"/>
  <c r="D25" i="1"/>
  <c r="D87" i="1"/>
  <c r="D32" i="1"/>
  <c r="D69" i="1"/>
  <c r="D68" i="1"/>
  <c r="D70" i="1"/>
  <c r="D30" i="1"/>
  <c r="D80" i="1"/>
  <c r="D45" i="1"/>
  <c r="C4" i="12"/>
  <c r="C12" i="12"/>
  <c r="C44" i="12"/>
  <c r="C32" i="12"/>
  <c r="C68" i="12"/>
  <c r="C89" i="12"/>
  <c r="C48" i="12"/>
  <c r="C66" i="12"/>
  <c r="C60" i="12"/>
  <c r="C31" i="12"/>
  <c r="C88" i="12"/>
  <c r="C43" i="12"/>
  <c r="C65" i="12"/>
  <c r="C76" i="12"/>
  <c r="C52" i="12"/>
  <c r="C33" i="12"/>
  <c r="C30" i="12"/>
  <c r="C90" i="12"/>
  <c r="C78" i="12"/>
  <c r="C64" i="12"/>
  <c r="C96" i="12"/>
  <c r="C45" i="12"/>
  <c r="C46" i="12"/>
  <c r="C36" i="12"/>
  <c r="C77" i="12"/>
  <c r="C34" i="12"/>
  <c r="C47" i="12"/>
  <c r="C53" i="12"/>
  <c r="C28" i="12"/>
  <c r="C18" i="12"/>
  <c r="C84" i="12"/>
  <c r="C72" i="12"/>
  <c r="C17" i="12"/>
  <c r="C29" i="12"/>
  <c r="C40" i="12"/>
  <c r="C24" i="12"/>
  <c r="C54" i="12"/>
  <c r="C55" i="12"/>
  <c r="C42" i="12"/>
  <c r="C91" i="12"/>
  <c r="C16" i="12"/>
  <c r="C41" i="12"/>
  <c r="C67"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<sst xmlns="http://schemas.openxmlformats.org/spreadsheetml/2006/main" count="294" uniqueCount="119">
  <si>
    <t>Module :</t>
  </si>
  <si>
    <t>Classe :</t>
  </si>
  <si>
    <t>Lieu :</t>
  </si>
  <si>
    <t>Dates :</t>
  </si>
  <si>
    <t>Tâche</t>
  </si>
  <si>
    <t>Prénom - nom :</t>
  </si>
  <si>
    <t>Tâches - objectifs</t>
  </si>
  <si>
    <t>Séquence 1</t>
  </si>
  <si>
    <t>Total planifié</t>
  </si>
  <si>
    <t>Total réalisé</t>
  </si>
  <si>
    <t>Du jj.mm.aaaa au jj.mm.aaaa</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</si>
  <si>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</si>
  <si>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</si>
  <si>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</si>
  <si>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</si>
  <si>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</si>
  <si>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</si>
  <si>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</si>
  <si>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</si>
  <si>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</si>
  <si>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</si>
  <si>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</si>
  <si>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</si>
  <si>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</si>
  <si>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</si>
  <si>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</si>
  <si>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</si>
  <si>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</si>
  <si>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</si>
  <si>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</si>
  <si>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</si>
  <si>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</si>
  <si>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</si>
  <si>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</si>
  <si>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</si>
  <si>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</si>
  <si>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</si>
  <si>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</si>
  <si>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0h</t>
  </si>
  <si>
    <t>Date</t>
  </si>
  <si>
    <t>?</t>
  </si>
  <si>
    <t>P-183_WebStore</t>
  </si>
  <si>
    <t>Alessio Lopardo</t>
  </si>
  <si>
    <t>CID2A</t>
  </si>
  <si>
    <t>Vennes</t>
  </si>
  <si>
    <t>Mise en place du projet</t>
  </si>
  <si>
    <t>Récupération du cahier des charges et du dossier zip (problème au téléchargement, celui-ci était considéré comme un virus par Windows Defender). Mise en place du repo github, mise en place de l'environnement (docker, node) installation des dépendence de l'application.</t>
  </si>
  <si>
    <t>Résolution probleme windows defender</t>
  </si>
  <si>
    <t>Windows defender détéctais les fichier .js comme des virus, il les supprimais donc je ne pouvais pas avancer. Nous avons trouver la solution en faisant une exclusion dans windows defender des extension .js et du dossier de mon repo github</t>
  </si>
  <si>
    <t xml:space="preserve">https://www.cryptool.org/en/cto/openssl </t>
  </si>
  <si>
    <t>code connexion https</t>
  </si>
  <si>
    <t>Géneration clé et certificat SSL avec openssl</t>
  </si>
  <si>
    <t>https://stackoverflow.com/questions/5998694/how-to-create-an-https-server-in-node-js</t>
  </si>
  <si>
    <t>En cherchant sur stack overflow j'ai trouver quelqu'un qui expliquait comment coder cette connexion. Le problème étant que je n'avais pas compris que je devais générer la clé et le certificat</t>
  </si>
  <si>
    <t>Après avoir essayer de télecharger OPEN SSL pour pouvoir générer la clé et le certificat, Mateja m'a donner un site pour pouvoir utiliser OPEN SSL en ligne pour ensuite télecharger la clé et le certificat. Ma première commande pour les générer n'était pas la bonne car mon serveur affichais une erreur "Bad decrypt". Puis en cherchant j'ai trouver une commande plus simple qui fonctionne</t>
  </si>
  <si>
    <t>Dockerisation des services</t>
  </si>
  <si>
    <t>Dockerisation des services nodejs. Problèmes avec les ports. Ça fonctionne avec le port 8080:8080</t>
  </si>
  <si>
    <t>Installation des dépendance mysql2</t>
  </si>
  <si>
    <t>Impossible d'installer mysql sans nodejs, même en rajouter la bonne version dans le package.json en réinstallant les container node me disait que mysql2 était introuvable. Monsieur Melly ma donnée un outil de gestion des application portable pour pouvoir installer nodejs en local sans avoir besoin d'insérer des droits admin. J'ai pu faire l'installation en manuel de mysql2 puis en réinstallant les container mysql2 était bien installer.</t>
  </si>
  <si>
    <t>Connexion à la base de données</t>
  </si>
  <si>
    <t xml:space="preserve">https://blogs.perficient.com/2023/08/03/how-to-connect-node-js-with-mysql-database/ </t>
  </si>
  <si>
    <t>J'ai créer un dossier mysql avec le fichier mysql.js avec toutes la partie connexion à la base de données (par la suite l'appeler dans le fichier server.js) pour l'instant le code de connexion est mis en brut dans le fichier server. Cependant impossible de se connecter à la base de données node me renvoie un message d'erreur disant que la connexion à expirer.</t>
  </si>
  <si>
    <t>Connexioin à la base de données</t>
  </si>
  <si>
    <t xml:space="preserve">Grâce à l'aide de Monsieur Sonney, la connexion à la base de données fonctionnes. En modifiant le host avec "localhost", le port "6033" et le username et password par "root" (la base de données doit être créer. Ça fonctionne </t>
  </si>
  <si>
    <t xml:space="preserve">Mise en forme du projet pour la fonction de connexion </t>
  </si>
  <si>
    <t>J'ai créer une fonction ConnectToDb dans un fichier mysql qui me permet de me connecter à la base de données (ce fichier permettera toute les interaction avec la base de données), ensuite j'ai rencontrer un problème lorsque je voulais exporter et importer cette fonction dans le server.js. Grâce à l'aide de quentin, j'ai rajouter un champs type avec la valeur "module" dans mon package.json ensuit j'ai modifier tous les requires pour les transformer en "import ... from ..."</t>
  </si>
  <si>
    <t>Route user</t>
  </si>
  <si>
    <t>J'ai modifier mon fichier user.js pour qu'il puisse fonctionner avec les modifications apporté à mon projet. La route ne fonctionnait pas initialement car je ne pouvais pas export mon userRouter et l'utiliser dans mon server.js. Puis en l'exportant avec "export default" j'ai pu l'importer et ça fonctionnait</t>
  </si>
  <si>
    <t>Requête dans la base de données</t>
  </si>
  <si>
    <t>J'ai modifier mon fichier mysql.js pour enlever ma methode de connexion car celle-ci fonctionnais mais j'ai besoin d'exporter ma "connection" pour pouvoir l'utiliser dans mes requete. J'ai donc supprimé ma fonction puis je l'ai mise dans mon server.js. La connexion est étaablie et je peux effectuer mes requête. J'ai rajouter "app.use(express.json());" pour pouvoir renvoyer du json</t>
  </si>
  <si>
    <t xml:space="preserve">J'ai demander a Monsieur Sonney pour mieux comprendre l'utilisatioin du controller. Pour finir je ne vais pas l'utiliser </t>
  </si>
  <si>
    <t>Question UserController</t>
  </si>
  <si>
    <t>Route de login</t>
  </si>
  <si>
    <t>Code de la route pour l'authentificatioin, j'ai ajouter un user dans ma base de données en cryptant sont mot de passe, avec le module crypto j'ai pu comparer les hash pour l'authtification</t>
  </si>
  <si>
    <t>Mise en forme des fichiers</t>
  </si>
  <si>
    <t>J'ai créer différent fichier pour trier toutes les parties de mon code et pas les mélangé</t>
  </si>
  <si>
    <t>Auth</t>
  </si>
  <si>
    <t>Réglage des problèmes</t>
  </si>
  <si>
    <t xml:space="preserve">Impossible d'importer la private_key pour l'authentification, problèmes avec les routes. Maintenant tout fonctionne </t>
  </si>
  <si>
    <t>https://dev.to/jobizil/compare-hash-passwords-using-crypto-module-using-the-nodejs-part-2-3304 
https://emn178.github.io/online-tools/sha256.html</t>
  </si>
  <si>
    <t>Authentification avec le JWT (ne fonctionne pas sur les routes)</t>
  </si>
  <si>
    <t>Absent 1ère période</t>
  </si>
  <si>
    <t>-</t>
  </si>
  <si>
    <t>Correction bug docker</t>
  </si>
  <si>
    <t>Impossible de lancer le docker compose. Le nom du projet dans le fichier .env était en majuscule. Je l'ai changé avec des caractère minuscules</t>
  </si>
  <si>
    <t>Correction bug dans la routes login</t>
  </si>
  <si>
    <t>Container nodejs ne se connecte pas à la base de données</t>
  </si>
  <si>
    <t>Le container node js ne se connectais pas au container db car les information de connexion dans le code était incorrecte, j'ai modifier le host par l'ip du container db et le port par celui par defaut qui est le 3306</t>
  </si>
  <si>
    <t>Création du rapport</t>
  </si>
  <si>
    <t>Mise en page du rapport avec les points à aborder</t>
  </si>
  <si>
    <t>Documentation de la dockerisation des service</t>
  </si>
  <si>
    <t>Documenation de la dockerisation de la base de données et nodejs. Documentation de la connexion à la base de données entre le container nodejs et le container mysql</t>
  </si>
  <si>
    <t>Documentation https</t>
  </si>
  <si>
    <t>Explication de comment j'ai intégré le certificat SSL à on app avec les différentes commandes que j'ai utiliser pour OpenSSL, documentation de mon code</t>
  </si>
  <si>
    <t>Ajout de commentaire et amélioration mon code avec chatGPT</t>
  </si>
  <si>
    <t>J'ai demander à chat GPT de commenter mon code car je n'ai pas toujours les bon temes pour définir ce que fait mon app. J'ai consulter ses réponse et je me suis assurer de comprendre ses commentaire. De plus il ma fournie des pistes d'amélioration de mon code surtout pour la routes de login avec les requêtes paramétré pour la protection contre les injections SQL, j'ai consulter son code et je lui ai demander de m'expliquer en détails comment cela fonctionnais, je me suis assuré de comprendre et d'avoir la capacité de le refaire avant de l'intégré à mon code.</t>
  </si>
  <si>
    <t>Tentative de correction du bug lorsque l'utilisateur n'entre pas un username valide. Je vais devoir créer une classe user et importer directement les données dans celle-ci.</t>
  </si>
  <si>
    <t>Résolution problème avec le req.header qui étais Undefined</t>
  </si>
  <si>
    <t>Le req.headers était undefined quand j'essayais d'intégrer à mon application la fonctionnalité de contrôler les rôle, car quand je vérifiais le token dans ma fonction auth je donnais pas les informations du decodedToken au req.user, donc cela cassait le req.headers</t>
  </si>
  <si>
    <t>Fonctionnalité requireRole</t>
  </si>
  <si>
    <t>Après avoir résolu le problème du req.headers mon req.user fonctionnait et me renvoyais le rôle, j'ai donc déplacer ma fonction requireRole dans mon fichier User car sinon j'avais la même erreur du req.headers</t>
  </si>
  <si>
    <t>Routes pour voir les informations de chaque utilisateur</t>
  </si>
  <si>
    <t>J'ai créer une route qui va récupérer un user selon le user.id qui est dans le req.user lorsque je donne un token.  Cela me permet de créer une route "personnel" pour chaque utilisateur, selon le token que je donne, il va me sortir les information de l'utilisateur.</t>
  </si>
  <si>
    <t>Documentation Administration</t>
  </si>
  <si>
    <t>Documentatioin Injection SQL</t>
  </si>
  <si>
    <t>Documentation Profil client</t>
  </si>
  <si>
    <t>Ajout de la partie administration dans le rapport. Modification de mon code et explication</t>
  </si>
  <si>
    <t>Ajout de la protection contre les injections SQL (requêtes préparées) dans le rapport. Expllication de mon code</t>
  </si>
  <si>
    <t>Ajout du profile client dans le rapport, explication de mon code et de la route</t>
  </si>
  <si>
    <t>Documentation authentificatioin</t>
  </si>
  <si>
    <t>J'ai documenter la partie de comparaison de hash avec crypto. Je dois encore finir la documentation de l'authentification.</t>
  </si>
  <si>
    <t>Finir partie Authentification mot de passe dans le rapport</t>
  </si>
  <si>
    <t>Description de la route login dans le rapport</t>
  </si>
  <si>
    <t>Ajout du frfontEnd page de connexion</t>
  </si>
  <si>
    <t>Connexion entre le frontEnd et le backend</t>
  </si>
  <si>
    <t>npx create-vue pour créer le frontend, j'ai nettoyer le projet et installer axios</t>
  </si>
  <si>
    <t>J'ai installer cors et je l'ai configurer a l'aide de chatgpt pour pouvoir utiliser e backend</t>
  </si>
  <si>
    <t>Dockerisation du FrontEnd</t>
  </si>
  <si>
    <t>J'ai repris les différent dockerfile que j'avais déjà qui me permettais de créer le container nodejs et je les ai adapté pour créer le container de vuejs. Avec l'aide de chatGPT j'ai réglé le problème de ports car depuis ma machine hote je ne pouvais pas écouter le localhost du container, j'ai donc modifier dans le fichier "viteconfig" la possibilité d'écouter toutes les ips en spécifiant "host: 0.0.0.0", de plus je me suis assurer de bien écouter sur le port 5173. Je n'ai pas voulu le modifier car j'avais déjà configuré mon backend pour qu'il écoute les requêtes venant de ce ports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</si>
</sst>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8">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19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2" fontId="12" fillId="16" borderId="63" xfId="0" applyNumberFormat="1" applyFont="1" applyFill="1" applyBorder="1" applyAlignment="1">
      <alignment horizontal="center" vertical="center"/>
    </xf>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lignment horizontal="center" vertical="center" wrapText="1"/>
    </xf>
    <xf numFmtId="0" fontId="4" fillId="17"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cellXfs>
  <cellStyles count="2">
    <cellStyle name="Lien hypertexte" xfId="1" builtinId="8"/>
    <cellStyle name="Normal" xfId="0" builtinId="0" customBuiltin="1"/>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10749" y="197069"/>
          <a:ext cx="1333501" cy="405086"/>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88900</xdr:rowOff>
        </xdr:from>
        <xdr:to>
          <xdr:col>3</xdr:col>
          <xdr:colOff>425450</xdr:colOff>
          <xdr:row>0</xdr:row>
          <xdr:rowOff>584200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88900</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1295826" y="91109"/>
          <a:ext cx="1979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88900</xdr:colOff>
          <xdr:row>0</xdr:row>
          <xdr:rowOff>88900</xdr:rowOff>
        </xdr:from>
        <xdr:to>
          <xdr:col>3</xdr:col>
          <xdr:colOff>889000</xdr:colOff>
          <xdr:row>0</xdr:row>
          <xdr:rowOff>565150</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107950</xdr:colOff>
          <xdr:row>0</xdr:row>
          <xdr:rowOff>88900</xdr:rowOff>
        </xdr:from>
        <xdr:to>
          <xdr:col>1</xdr:col>
          <xdr:colOff>393700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blogs.perficient.com/2023/08/03/how-to-connect-node-js-with-mysql-database/" TargetMode="External"/><Relationship Id="rId7" Type="http://schemas.openxmlformats.org/officeDocument/2006/relationships/vmlDrawing" Target="../drawings/vmlDrawing3.vml"/><Relationship Id="rId2" Type="http://schemas.openxmlformats.org/officeDocument/2006/relationships/hyperlink" Target="https://www.cryptool.org/en/cto/openssl" TargetMode="External"/><Relationship Id="rId1" Type="http://schemas.openxmlformats.org/officeDocument/2006/relationships/hyperlink" Target="https://stackoverflow.com/questions/5998694/how-to-create-an-https-server-in-node-js"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dev.to/jobizil/compare-hash-passwords-using-crypto-module-using-the-nodejs-part-2-3304"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2.5" x14ac:dyDescent="0.25"/>
  <cols>
    <col min="19" max="23" width="11.453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49" t="s">
        <v>29</v>
      </c>
      <c r="C35" s="149"/>
      <c r="D35" s="149"/>
      <c r="E35" s="91" t="s">
        <v>38</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0" t="s">
        <v>30</v>
      </c>
      <c r="C37" s="150"/>
      <c r="D37" s="150"/>
      <c r="E37" s="93" t="s">
        <v>38</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4.5" thickBot="1" x14ac:dyDescent="0.3">
      <c r="A39" s="85"/>
      <c r="B39" s="85"/>
      <c r="C39" s="85"/>
      <c r="D39" s="85" t="s">
        <v>27</v>
      </c>
      <c r="E39" s="123" t="s">
        <v>38</v>
      </c>
      <c r="F39" s="85"/>
      <c r="G39" s="85"/>
      <c r="H39" s="85"/>
      <c r="I39" s="85"/>
      <c r="J39" s="85"/>
      <c r="K39" s="85"/>
      <c r="L39" s="85"/>
      <c r="M39" s="85"/>
      <c r="N39" s="85"/>
      <c r="O39" s="85"/>
      <c r="P39" s="85"/>
      <c r="Q39" s="85"/>
      <c r="R39" s="85"/>
    </row>
    <row r="40" spans="1:18" ht="13"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zoomScale="70" zoomScaleNormal="70" zoomScaleSheetLayoutView="43" workbookViewId="0">
      <selection activeCell="C15" sqref="C15:C24"/>
    </sheetView>
  </sheetViews>
  <sheetFormatPr baseColWidth="10" defaultColWidth="11.453125" defaultRowHeight="12.5" x14ac:dyDescent="0.25"/>
  <cols>
    <col min="1" max="1" width="1.81640625" style="2" customWidth="1"/>
    <col min="2" max="2" width="2.453125" style="83" customWidth="1"/>
    <col min="3" max="3" width="51.1796875" style="2" customWidth="1"/>
    <col min="4" max="4" width="12.26953125" style="2" customWidth="1"/>
    <col min="5" max="5" width="14.453125" style="2" customWidth="1"/>
    <col min="6" max="185" width="1.1796875" style="2" customWidth="1"/>
    <col min="186" max="186" width="2.7265625" style="2" customWidth="1"/>
    <col min="187" max="16384" width="11.453125" style="2"/>
  </cols>
  <sheetData>
    <row r="1" spans="1:186" ht="35.15" customHeight="1" x14ac:dyDescent="0.25">
      <c r="B1" s="80"/>
      <c r="C1" s="181" t="s">
        <v>28</v>
      </c>
      <c r="D1" s="181"/>
      <c r="E1" s="18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3" thickBot="1" x14ac:dyDescent="0.3">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4"/>
      <c r="E3" s="6" t="s">
        <v>41</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5</v>
      </c>
      <c r="D4" s="125"/>
      <c r="E4" s="10" t="s">
        <v>42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5"/>
      <c r="E5" s="10" t="s">
        <v>43</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6"/>
      <c r="E6" s="14" t="s">
        <v>44</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49999999999999" customHeight="1" thickBot="1" x14ac:dyDescent="0.3">
      <c r="B7" s="53"/>
      <c r="C7" s="182"/>
      <c r="D7" s="182"/>
      <c r="E7" s="182"/>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4"/>
      <c r="E8" s="6" t="s">
        <v>10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15</v>
      </c>
      <c r="D9" s="125"/>
      <c r="E9" s="10" t="s">
        <v>19</v>
      </c>
      <c r="F9" s="11"/>
      <c r="G9" s="173" t="str">
        <f>E96</f>
        <v>0h</v>
      </c>
      <c r="H9" s="173"/>
      <c r="I9" s="173"/>
      <c r="J9" s="173"/>
      <c r="K9" s="173"/>
      <c r="L9" s="173"/>
      <c r="M9" s="173"/>
      <c r="N9" s="173"/>
      <c r="O9" s="173"/>
      <c r="P9" s="173"/>
      <c r="Q9" s="173"/>
      <c r="R9" s="173"/>
      <c r="S9" s="173"/>
      <c r="T9" s="173"/>
      <c r="U9" s="173"/>
      <c r="V9" s="103"/>
      <c r="W9" s="172" t="s">
        <v>20</v>
      </c>
      <c r="X9" s="172"/>
      <c r="Y9" s="172"/>
      <c r="Z9" s="172"/>
      <c r="AA9" s="172"/>
      <c r="AB9" s="172"/>
      <c r="AC9" s="172"/>
      <c r="AD9" s="172"/>
      <c r="AE9" s="172"/>
      <c r="AF9" s="172"/>
      <c r="AG9" s="172"/>
      <c r="AH9" s="173" t="str">
        <f>E98</f>
        <v>0h</v>
      </c>
      <c r="AI9" s="173"/>
      <c r="AJ9" s="173"/>
      <c r="AK9" s="173"/>
      <c r="AL9" s="173"/>
      <c r="AM9" s="173"/>
      <c r="AN9" s="173"/>
      <c r="AO9" s="173"/>
      <c r="AP9" s="173"/>
      <c r="AQ9" s="173"/>
      <c r="AR9" s="173"/>
      <c r="AS9" s="173"/>
      <c r="AT9" s="173"/>
      <c r="AU9" s="173"/>
      <c r="AV9" s="173"/>
      <c r="AW9" s="173"/>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49999999999999" customHeight="1" thickBot="1" x14ac:dyDescent="0.3">
      <c r="B10" s="53"/>
      <c r="C10" s="17"/>
      <c r="D10" s="127"/>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74"/>
      <c r="BO10" s="174"/>
      <c r="BP10" s="174"/>
      <c r="BQ10" s="174"/>
      <c r="BR10" s="174"/>
      <c r="BS10" s="174"/>
      <c r="BT10" s="174"/>
      <c r="BU10" s="174"/>
      <c r="BV10" s="174"/>
      <c r="BW10" s="174"/>
      <c r="BX10" s="174"/>
      <c r="BY10" s="174"/>
      <c r="BZ10" s="174"/>
      <c r="CA10" s="174"/>
      <c r="CB10" s="174"/>
      <c r="CC10" s="174"/>
      <c r="CD10" s="174"/>
      <c r="CE10" s="174"/>
      <c r="CF10" s="174"/>
      <c r="CG10" s="174"/>
      <c r="CH10" s="174"/>
      <c r="CI10" s="174"/>
      <c r="CJ10" s="174"/>
      <c r="CK10" s="174"/>
      <c r="CL10" s="174"/>
      <c r="CM10" s="174"/>
      <c r="CN10" s="174"/>
      <c r="CO10" s="174"/>
      <c r="CP10" s="174"/>
      <c r="CQ10" s="77"/>
      <c r="CR10" s="167"/>
      <c r="CS10" s="167"/>
      <c r="CT10" s="167"/>
      <c r="CU10" s="167"/>
      <c r="CV10" s="167"/>
      <c r="CW10" s="167"/>
      <c r="CX10" s="167"/>
      <c r="CY10" s="167"/>
      <c r="CZ10" s="167"/>
      <c r="DA10" s="167"/>
      <c r="DB10" s="167"/>
      <c r="DC10" s="167"/>
      <c r="DD10" s="167"/>
      <c r="DE10" s="167"/>
      <c r="DF10" s="167"/>
      <c r="DG10" s="167"/>
      <c r="DH10" s="167"/>
      <c r="DI10" s="167"/>
      <c r="DJ10" s="167"/>
      <c r="DK10" s="167"/>
      <c r="DL10" s="167"/>
      <c r="DM10" s="167"/>
      <c r="DN10" s="167"/>
      <c r="DO10" s="167"/>
      <c r="DP10" s="167"/>
      <c r="DQ10" s="167"/>
      <c r="DR10" s="167"/>
      <c r="DS10" s="167"/>
      <c r="DT10" s="167"/>
      <c r="DU10" s="167"/>
      <c r="DV10" s="167"/>
      <c r="DW10" s="167"/>
      <c r="DX10" s="167"/>
      <c r="DY10" s="167"/>
      <c r="DZ10" s="167"/>
      <c r="EA10" s="167"/>
      <c r="EB10" s="167"/>
      <c r="EC10" s="167"/>
      <c r="ED10" s="167"/>
      <c r="EE10" s="167"/>
      <c r="EF10" s="167"/>
      <c r="EG10" s="167"/>
      <c r="EH10" s="167"/>
      <c r="EI10" s="167"/>
      <c r="EJ10" s="167"/>
      <c r="EK10" s="167"/>
      <c r="EL10" s="167"/>
      <c r="EM10" s="167"/>
      <c r="EN10" s="167"/>
      <c r="EO10" s="167"/>
      <c r="EP10" s="167"/>
      <c r="EQ10" s="167"/>
      <c r="ER10" s="167"/>
      <c r="ES10" s="167"/>
      <c r="ET10" s="167"/>
      <c r="EU10" s="167"/>
      <c r="EV10" s="167"/>
      <c r="EW10" s="167"/>
      <c r="EX10" s="167"/>
      <c r="EY10" s="167"/>
      <c r="EZ10" s="167"/>
      <c r="FA10" s="167"/>
      <c r="FB10" s="167"/>
      <c r="FC10" s="167"/>
      <c r="FD10" s="167"/>
      <c r="FE10" s="167"/>
      <c r="FF10" s="167"/>
      <c r="FG10" s="167"/>
      <c r="FH10" s="167"/>
      <c r="FI10" s="167"/>
      <c r="FJ10" s="167"/>
      <c r="FK10" s="167"/>
      <c r="FL10" s="167"/>
      <c r="FM10" s="167"/>
      <c r="FN10" s="167"/>
      <c r="FO10" s="167"/>
      <c r="FP10" s="167"/>
      <c r="FQ10" s="167"/>
      <c r="FR10" s="167"/>
      <c r="FS10" s="167"/>
      <c r="FT10" s="167"/>
      <c r="FU10" s="167"/>
      <c r="FV10" s="167"/>
      <c r="FW10" s="167"/>
      <c r="FX10" s="167"/>
      <c r="FY10" s="167"/>
      <c r="FZ10" s="167"/>
      <c r="GA10" s="167"/>
      <c r="GB10" s="167"/>
      <c r="GC10" s="167"/>
      <c r="GD10" s="75"/>
    </row>
    <row r="11" spans="1:186" ht="20.149999999999999" customHeight="1" x14ac:dyDescent="0.35">
      <c r="B11" s="53"/>
      <c r="C11" s="179"/>
      <c r="D11" s="179"/>
      <c r="E11" s="179"/>
      <c r="F11" s="171" t="s">
        <v>39</v>
      </c>
      <c r="G11" s="171"/>
      <c r="H11" s="171"/>
      <c r="I11" s="171"/>
      <c r="J11" s="171"/>
      <c r="K11" s="171"/>
      <c r="L11" s="171"/>
      <c r="M11" s="171"/>
      <c r="N11" s="171"/>
      <c r="O11" s="171"/>
      <c r="P11" s="171"/>
      <c r="Q11" s="171"/>
      <c r="R11" s="171"/>
      <c r="S11" s="171"/>
      <c r="T11" s="171"/>
      <c r="U11" s="171"/>
      <c r="V11" s="171"/>
      <c r="W11" s="171"/>
      <c r="X11" s="171"/>
      <c r="Y11" s="171"/>
      <c r="Z11" s="171"/>
      <c r="AA11" s="171"/>
      <c r="AB11" s="171"/>
      <c r="AC11" s="171"/>
      <c r="AD11" s="171"/>
      <c r="AE11" s="171"/>
      <c r="AF11" s="171"/>
      <c r="AG11" s="171"/>
      <c r="AH11" s="171"/>
      <c r="AI11" s="171"/>
      <c r="AJ11" s="171"/>
      <c r="AK11" s="171"/>
      <c r="AL11" s="171"/>
      <c r="AM11" s="171"/>
      <c r="AN11" s="171"/>
      <c r="AO11" s="171"/>
      <c r="AP11" s="171"/>
      <c r="AQ11" s="171"/>
      <c r="AR11" s="171"/>
      <c r="AS11" s="171"/>
      <c r="AT11" s="171"/>
      <c r="AU11" s="171"/>
      <c r="AV11" s="171"/>
      <c r="AW11" s="171"/>
      <c r="AX11" s="171"/>
      <c r="AY11" s="171"/>
      <c r="AZ11" s="171"/>
      <c r="BA11" s="171"/>
      <c r="BB11" s="171"/>
      <c r="BC11" s="171"/>
      <c r="BD11" s="171"/>
      <c r="BE11" s="171"/>
      <c r="BF11" s="171"/>
      <c r="BG11" s="171"/>
      <c r="BH11" s="171"/>
      <c r="BI11" s="171"/>
      <c r="BJ11" s="171"/>
      <c r="BK11" s="171"/>
      <c r="BL11" s="171"/>
      <c r="BM11" s="171"/>
      <c r="BN11" s="171" t="s">
        <v>39</v>
      </c>
      <c r="BO11" s="171"/>
      <c r="BP11" s="171"/>
      <c r="BQ11" s="171"/>
      <c r="BR11" s="171"/>
      <c r="BS11" s="171"/>
      <c r="BT11" s="171"/>
      <c r="BU11" s="171"/>
      <c r="BV11" s="171"/>
      <c r="BW11" s="171"/>
      <c r="BX11" s="171"/>
      <c r="BY11" s="171"/>
      <c r="BZ11" s="171"/>
      <c r="CA11" s="171"/>
      <c r="CB11" s="171"/>
      <c r="CC11" s="171"/>
      <c r="CD11" s="171"/>
      <c r="CE11" s="171"/>
      <c r="CF11" s="171"/>
      <c r="CG11" s="171"/>
      <c r="CH11" s="171"/>
      <c r="CI11" s="171"/>
      <c r="CJ11" s="171"/>
      <c r="CK11" s="171"/>
      <c r="CL11" s="171"/>
      <c r="CM11" s="171"/>
      <c r="CN11" s="171"/>
      <c r="CO11" s="171"/>
      <c r="CP11" s="171"/>
      <c r="CQ11" s="171"/>
      <c r="CR11" s="171"/>
      <c r="CS11" s="171"/>
      <c r="CT11" s="171"/>
      <c r="CU11" s="171"/>
      <c r="CV11" s="171"/>
      <c r="CW11" s="171"/>
      <c r="CX11" s="171"/>
      <c r="CY11" s="171"/>
      <c r="CZ11" s="171"/>
      <c r="DA11" s="171"/>
      <c r="DB11" s="171"/>
      <c r="DC11" s="171"/>
      <c r="DD11" s="171"/>
      <c r="DE11" s="171"/>
      <c r="DF11" s="171"/>
      <c r="DG11" s="171"/>
      <c r="DH11" s="171"/>
      <c r="DI11" s="171"/>
      <c r="DJ11" s="171"/>
      <c r="DK11" s="171"/>
      <c r="DL11" s="171"/>
      <c r="DM11" s="171"/>
      <c r="DN11" s="171"/>
      <c r="DO11" s="171"/>
      <c r="DP11" s="171"/>
      <c r="DQ11" s="171"/>
      <c r="DR11" s="171"/>
      <c r="DS11" s="171"/>
      <c r="DT11" s="171"/>
      <c r="DU11" s="171"/>
      <c r="DV11" s="168" t="s">
        <v>39</v>
      </c>
      <c r="DW11" s="168"/>
      <c r="DX11" s="168"/>
      <c r="DY11" s="168"/>
      <c r="DZ11" s="168"/>
      <c r="EA11" s="168"/>
      <c r="EB11" s="168"/>
      <c r="EC11" s="168"/>
      <c r="ED11" s="168"/>
      <c r="EE11" s="168"/>
      <c r="EF11" s="168"/>
      <c r="EG11" s="168"/>
      <c r="EH11" s="168"/>
      <c r="EI11" s="168"/>
      <c r="EJ11" s="168"/>
      <c r="EK11" s="168"/>
      <c r="EL11" s="168"/>
      <c r="EM11" s="168"/>
      <c r="EN11" s="168"/>
      <c r="EO11" s="168"/>
      <c r="EP11" s="168"/>
      <c r="EQ11" s="168"/>
      <c r="ER11" s="168"/>
      <c r="ES11" s="168"/>
      <c r="ET11" s="168"/>
      <c r="EU11" s="168"/>
      <c r="EV11" s="168"/>
      <c r="EW11" s="168"/>
      <c r="EX11" s="168"/>
      <c r="EY11" s="168"/>
      <c r="EZ11" s="168"/>
      <c r="FA11" s="168"/>
      <c r="FB11" s="168"/>
      <c r="FC11" s="168"/>
      <c r="FD11" s="168"/>
      <c r="FE11" s="168"/>
      <c r="FF11" s="168"/>
      <c r="FG11" s="168"/>
      <c r="FH11" s="168"/>
      <c r="FI11" s="168"/>
      <c r="FJ11" s="168"/>
      <c r="FK11" s="168"/>
      <c r="FL11" s="168"/>
      <c r="FM11" s="168"/>
      <c r="FN11" s="168"/>
      <c r="FO11" s="168"/>
      <c r="FP11" s="168"/>
      <c r="FQ11" s="168"/>
      <c r="FR11" s="168"/>
      <c r="FS11" s="168"/>
      <c r="FT11" s="168"/>
      <c r="FU11" s="168"/>
      <c r="FV11" s="168"/>
      <c r="FW11" s="168"/>
      <c r="FX11" s="168"/>
      <c r="FY11" s="168"/>
      <c r="FZ11" s="168"/>
      <c r="GA11" s="168"/>
      <c r="GB11" s="168"/>
      <c r="GC11" s="168"/>
      <c r="GD11" s="75"/>
    </row>
    <row r="12" spans="1:186" ht="15.75" customHeight="1" thickBot="1" x14ac:dyDescent="0.4">
      <c r="B12" s="81"/>
      <c r="C12" s="180"/>
      <c r="D12" s="180"/>
      <c r="E12" s="180"/>
      <c r="F12" s="170" t="s">
        <v>40</v>
      </c>
      <c r="G12" s="170"/>
      <c r="H12" s="170"/>
      <c r="I12" s="170"/>
      <c r="J12" s="170"/>
      <c r="K12" s="170"/>
      <c r="L12" s="170"/>
      <c r="M12" s="170"/>
      <c r="N12" s="170"/>
      <c r="O12" s="170"/>
      <c r="P12" s="170"/>
      <c r="Q12" s="170"/>
      <c r="R12" s="170"/>
      <c r="S12" s="170"/>
      <c r="T12" s="170"/>
      <c r="U12" s="170"/>
      <c r="V12" s="170"/>
      <c r="W12" s="170"/>
      <c r="X12" s="170"/>
      <c r="Y12" s="170"/>
      <c r="Z12" s="170"/>
      <c r="AA12" s="170"/>
      <c r="AB12" s="170"/>
      <c r="AC12" s="170"/>
      <c r="AD12" s="170"/>
      <c r="AE12" s="170"/>
      <c r="AF12" s="170"/>
      <c r="AG12" s="170"/>
      <c r="AH12" s="170"/>
      <c r="AI12" s="170"/>
      <c r="AJ12" s="170"/>
      <c r="AK12" s="170"/>
      <c r="AL12" s="170"/>
      <c r="AM12" s="170"/>
      <c r="AN12" s="170"/>
      <c r="AO12" s="170"/>
      <c r="AP12" s="170"/>
      <c r="AQ12" s="170"/>
      <c r="AR12" s="170"/>
      <c r="AS12" s="170"/>
      <c r="AT12" s="170"/>
      <c r="AU12" s="170"/>
      <c r="AV12" s="170"/>
      <c r="AW12" s="170"/>
      <c r="AX12" s="170"/>
      <c r="AY12" s="170"/>
      <c r="AZ12" s="170"/>
      <c r="BA12" s="170"/>
      <c r="BB12" s="170"/>
      <c r="BC12" s="170"/>
      <c r="BD12" s="170"/>
      <c r="BE12" s="170"/>
      <c r="BF12" s="170"/>
      <c r="BG12" s="170"/>
      <c r="BH12" s="170"/>
      <c r="BI12" s="170"/>
      <c r="BJ12" s="170"/>
      <c r="BK12" s="170"/>
      <c r="BL12" s="170"/>
      <c r="BM12" s="170"/>
      <c r="BN12" s="170" t="s">
        <v>40</v>
      </c>
      <c r="BO12" s="170"/>
      <c r="BP12" s="170"/>
      <c r="BQ12" s="170"/>
      <c r="BR12" s="170"/>
      <c r="BS12" s="170"/>
      <c r="BT12" s="170"/>
      <c r="BU12" s="170"/>
      <c r="BV12" s="170"/>
      <c r="BW12" s="170"/>
      <c r="BX12" s="170"/>
      <c r="BY12" s="170"/>
      <c r="BZ12" s="170"/>
      <c r="CA12" s="170"/>
      <c r="CB12" s="170"/>
      <c r="CC12" s="170"/>
      <c r="CD12" s="170"/>
      <c r="CE12" s="170"/>
      <c r="CF12" s="170"/>
      <c r="CG12" s="170"/>
      <c r="CH12" s="170"/>
      <c r="CI12" s="170"/>
      <c r="CJ12" s="170"/>
      <c r="CK12" s="170"/>
      <c r="CL12" s="170"/>
      <c r="CM12" s="170"/>
      <c r="CN12" s="170"/>
      <c r="CO12" s="170"/>
      <c r="CP12" s="170"/>
      <c r="CQ12" s="170"/>
      <c r="CR12" s="170"/>
      <c r="CS12" s="170"/>
      <c r="CT12" s="170"/>
      <c r="CU12" s="170"/>
      <c r="CV12" s="170"/>
      <c r="CW12" s="170"/>
      <c r="CX12" s="170"/>
      <c r="CY12" s="170"/>
      <c r="CZ12" s="170"/>
      <c r="DA12" s="170"/>
      <c r="DB12" s="170"/>
      <c r="DC12" s="170"/>
      <c r="DD12" s="170"/>
      <c r="DE12" s="170"/>
      <c r="DF12" s="170"/>
      <c r="DG12" s="170"/>
      <c r="DH12" s="170"/>
      <c r="DI12" s="170"/>
      <c r="DJ12" s="170"/>
      <c r="DK12" s="170"/>
      <c r="DL12" s="170"/>
      <c r="DM12" s="170"/>
      <c r="DN12" s="170"/>
      <c r="DO12" s="170"/>
      <c r="DP12" s="170"/>
      <c r="DQ12" s="170"/>
      <c r="DR12" s="170"/>
      <c r="DS12" s="170"/>
      <c r="DT12" s="170"/>
      <c r="DU12" s="170"/>
      <c r="DV12" s="169" t="s">
        <v>40</v>
      </c>
      <c r="DW12" s="169"/>
      <c r="DX12" s="169"/>
      <c r="DY12" s="169"/>
      <c r="DZ12" s="169"/>
      <c r="EA12" s="169"/>
      <c r="EB12" s="169"/>
      <c r="EC12" s="169"/>
      <c r="ED12" s="169"/>
      <c r="EE12" s="169"/>
      <c r="EF12" s="169"/>
      <c r="EG12" s="169"/>
      <c r="EH12" s="169"/>
      <c r="EI12" s="169"/>
      <c r="EJ12" s="169"/>
      <c r="EK12" s="169"/>
      <c r="EL12" s="169"/>
      <c r="EM12" s="169"/>
      <c r="EN12" s="169"/>
      <c r="EO12" s="169"/>
      <c r="EP12" s="169"/>
      <c r="EQ12" s="169"/>
      <c r="ER12" s="169"/>
      <c r="ES12" s="169"/>
      <c r="ET12" s="169"/>
      <c r="EU12" s="169"/>
      <c r="EV12" s="169"/>
      <c r="EW12" s="169"/>
      <c r="EX12" s="169"/>
      <c r="EY12" s="169"/>
      <c r="EZ12" s="169"/>
      <c r="FA12" s="169"/>
      <c r="FB12" s="169"/>
      <c r="FC12" s="169"/>
      <c r="FD12" s="169"/>
      <c r="FE12" s="169"/>
      <c r="FF12" s="169"/>
      <c r="FG12" s="169"/>
      <c r="FH12" s="169"/>
      <c r="FI12" s="169"/>
      <c r="FJ12" s="169"/>
      <c r="FK12" s="169"/>
      <c r="FL12" s="169"/>
      <c r="FM12" s="169"/>
      <c r="FN12" s="169"/>
      <c r="FO12" s="169"/>
      <c r="FP12" s="169"/>
      <c r="FQ12" s="169"/>
      <c r="FR12" s="169"/>
      <c r="FS12" s="169"/>
      <c r="FT12" s="169"/>
      <c r="FU12" s="169"/>
      <c r="FV12" s="169"/>
      <c r="FW12" s="169"/>
      <c r="FX12" s="169"/>
      <c r="FY12" s="169"/>
      <c r="FZ12" s="169"/>
      <c r="GA12" s="169"/>
      <c r="GB12" s="169"/>
      <c r="GC12" s="169"/>
      <c r="GD12" s="75"/>
    </row>
    <row r="13" spans="1:186" ht="42.75" customHeight="1" thickBot="1" x14ac:dyDescent="0.3">
      <c r="B13" s="53"/>
      <c r="C13" s="175" t="s">
        <v>6</v>
      </c>
      <c r="D13" s="128"/>
      <c r="E13" s="177" t="s">
        <v>36</v>
      </c>
      <c r="F13" s="151" t="s">
        <v>7</v>
      </c>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2"/>
      <c r="BI13" s="152"/>
      <c r="BJ13" s="152"/>
      <c r="BK13" s="152"/>
      <c r="BL13" s="152"/>
      <c r="BM13" s="153"/>
      <c r="BN13" s="151" t="s">
        <v>25</v>
      </c>
      <c r="BO13" s="152"/>
      <c r="BP13" s="152"/>
      <c r="BQ13" s="152"/>
      <c r="BR13" s="152"/>
      <c r="BS13" s="152"/>
      <c r="BT13" s="152"/>
      <c r="BU13" s="152"/>
      <c r="BV13" s="152"/>
      <c r="BW13" s="152"/>
      <c r="BX13" s="152"/>
      <c r="BY13" s="152"/>
      <c r="BZ13" s="152"/>
      <c r="CA13" s="152"/>
      <c r="CB13" s="152"/>
      <c r="CC13" s="152"/>
      <c r="CD13" s="152"/>
      <c r="CE13" s="152"/>
      <c r="CF13" s="152"/>
      <c r="CG13" s="152"/>
      <c r="CH13" s="152"/>
      <c r="CI13" s="152"/>
      <c r="CJ13" s="152"/>
      <c r="CK13" s="152"/>
      <c r="CL13" s="152"/>
      <c r="CM13" s="152"/>
      <c r="CN13" s="152"/>
      <c r="CO13" s="152"/>
      <c r="CP13" s="152"/>
      <c r="CQ13" s="152"/>
      <c r="CR13" s="152"/>
      <c r="CS13" s="152"/>
      <c r="CT13" s="152"/>
      <c r="CU13" s="152"/>
      <c r="CV13" s="152"/>
      <c r="CW13" s="152"/>
      <c r="CX13" s="152"/>
      <c r="CY13" s="152"/>
      <c r="CZ13" s="152"/>
      <c r="DA13" s="152"/>
      <c r="DB13" s="152"/>
      <c r="DC13" s="152"/>
      <c r="DD13" s="152"/>
      <c r="DE13" s="152"/>
      <c r="DF13" s="152"/>
      <c r="DG13" s="152"/>
      <c r="DH13" s="152"/>
      <c r="DI13" s="152"/>
      <c r="DJ13" s="152"/>
      <c r="DK13" s="152"/>
      <c r="DL13" s="152"/>
      <c r="DM13" s="152"/>
      <c r="DN13" s="152"/>
      <c r="DO13" s="152"/>
      <c r="DP13" s="152"/>
      <c r="DQ13" s="152"/>
      <c r="DR13" s="152"/>
      <c r="DS13" s="152"/>
      <c r="DT13" s="152"/>
      <c r="DU13" s="153"/>
      <c r="DV13" s="151" t="s">
        <v>16</v>
      </c>
      <c r="DW13" s="152"/>
      <c r="DX13" s="152"/>
      <c r="DY13" s="152"/>
      <c r="DZ13" s="152"/>
      <c r="EA13" s="152"/>
      <c r="EB13" s="152"/>
      <c r="EC13" s="152"/>
      <c r="ED13" s="152"/>
      <c r="EE13" s="152"/>
      <c r="EF13" s="152"/>
      <c r="EG13" s="152"/>
      <c r="EH13" s="152"/>
      <c r="EI13" s="152"/>
      <c r="EJ13" s="152"/>
      <c r="EK13" s="152"/>
      <c r="EL13" s="152"/>
      <c r="EM13" s="152"/>
      <c r="EN13" s="152"/>
      <c r="EO13" s="152"/>
      <c r="EP13" s="152"/>
      <c r="EQ13" s="152"/>
      <c r="ER13" s="152"/>
      <c r="ES13" s="152"/>
      <c r="ET13" s="152"/>
      <c r="EU13" s="152"/>
      <c r="EV13" s="152"/>
      <c r="EW13" s="152"/>
      <c r="EX13" s="152"/>
      <c r="EY13" s="152"/>
      <c r="EZ13" s="152"/>
      <c r="FA13" s="152"/>
      <c r="FB13" s="152"/>
      <c r="FC13" s="152"/>
      <c r="FD13" s="152"/>
      <c r="FE13" s="152"/>
      <c r="FF13" s="152"/>
      <c r="FG13" s="152"/>
      <c r="FH13" s="152"/>
      <c r="FI13" s="152"/>
      <c r="FJ13" s="152"/>
      <c r="FK13" s="152"/>
      <c r="FL13" s="152"/>
      <c r="FM13" s="152"/>
      <c r="FN13" s="152"/>
      <c r="FO13" s="152"/>
      <c r="FP13" s="152"/>
      <c r="FQ13" s="152"/>
      <c r="FR13" s="152"/>
      <c r="FS13" s="152"/>
      <c r="FT13" s="152"/>
      <c r="FU13" s="152"/>
      <c r="FV13" s="152"/>
      <c r="FW13" s="152"/>
      <c r="FX13" s="152"/>
      <c r="FY13" s="152"/>
      <c r="FZ13" s="152"/>
      <c r="GA13" s="152"/>
      <c r="GB13" s="152"/>
      <c r="GC13" s="153"/>
      <c r="GD13" s="75"/>
    </row>
    <row r="14" spans="1:186" ht="12.75" customHeight="1" thickBot="1" x14ac:dyDescent="0.35">
      <c r="B14" s="53"/>
      <c r="C14" s="176"/>
      <c r="D14" s="129"/>
      <c r="E14" s="178"/>
      <c r="F14" s="87"/>
      <c r="G14" s="88"/>
      <c r="H14" s="88"/>
      <c r="I14" s="88"/>
      <c r="J14" s="154" t="s">
        <v>31</v>
      </c>
      <c r="K14" s="154"/>
      <c r="L14" s="154"/>
      <c r="M14" s="154"/>
      <c r="N14" s="88"/>
      <c r="O14" s="88"/>
      <c r="P14" s="155" t="s">
        <v>21</v>
      </c>
      <c r="Q14" s="155"/>
      <c r="R14" s="155"/>
      <c r="S14" s="155"/>
      <c r="T14" s="112"/>
      <c r="U14" s="112"/>
      <c r="V14" s="154" t="s">
        <v>32</v>
      </c>
      <c r="W14" s="154"/>
      <c r="X14" s="154"/>
      <c r="Y14" s="154"/>
      <c r="Z14" s="88"/>
      <c r="AA14" s="88"/>
      <c r="AB14" s="155" t="s">
        <v>22</v>
      </c>
      <c r="AC14" s="155"/>
      <c r="AD14" s="155"/>
      <c r="AE14" s="155"/>
      <c r="AF14" s="112"/>
      <c r="AG14" s="112"/>
      <c r="AH14" s="154" t="s">
        <v>33</v>
      </c>
      <c r="AI14" s="154"/>
      <c r="AJ14" s="154"/>
      <c r="AK14" s="154"/>
      <c r="AL14" s="88"/>
      <c r="AM14" s="88"/>
      <c r="AN14" s="155" t="s">
        <v>23</v>
      </c>
      <c r="AO14" s="155"/>
      <c r="AP14" s="155"/>
      <c r="AQ14" s="155"/>
      <c r="AR14" s="112"/>
      <c r="AS14" s="112"/>
      <c r="AT14" s="154" t="s">
        <v>34</v>
      </c>
      <c r="AU14" s="154"/>
      <c r="AV14" s="154"/>
      <c r="AW14" s="154"/>
      <c r="AX14" s="88"/>
      <c r="AY14" s="88"/>
      <c r="AZ14" s="155" t="s">
        <v>24</v>
      </c>
      <c r="BA14" s="155"/>
      <c r="BB14" s="155"/>
      <c r="BC14" s="155"/>
      <c r="BD14" s="112"/>
      <c r="BE14" s="112"/>
      <c r="BF14" s="154" t="s">
        <v>35</v>
      </c>
      <c r="BG14" s="154"/>
      <c r="BH14" s="154"/>
      <c r="BI14" s="154"/>
      <c r="BJ14" s="88"/>
      <c r="BK14" s="88"/>
      <c r="BL14" s="88"/>
      <c r="BM14" s="89"/>
      <c r="BN14" s="87"/>
      <c r="BO14" s="88"/>
      <c r="BP14" s="88"/>
      <c r="BQ14" s="88"/>
      <c r="BR14" s="154" t="s">
        <v>31</v>
      </c>
      <c r="BS14" s="154"/>
      <c r="BT14" s="154"/>
      <c r="BU14" s="154"/>
      <c r="BV14" s="88"/>
      <c r="BW14" s="88"/>
      <c r="BX14" s="155" t="s">
        <v>21</v>
      </c>
      <c r="BY14" s="155"/>
      <c r="BZ14" s="155"/>
      <c r="CA14" s="155"/>
      <c r="CB14" s="112"/>
      <c r="CC14" s="112"/>
      <c r="CD14" s="154" t="s">
        <v>32</v>
      </c>
      <c r="CE14" s="154"/>
      <c r="CF14" s="154"/>
      <c r="CG14" s="154"/>
      <c r="CH14" s="88"/>
      <c r="CI14" s="88"/>
      <c r="CJ14" s="155" t="s">
        <v>22</v>
      </c>
      <c r="CK14" s="155"/>
      <c r="CL14" s="155"/>
      <c r="CM14" s="155"/>
      <c r="CN14" s="112"/>
      <c r="CO14" s="112"/>
      <c r="CP14" s="154" t="s">
        <v>33</v>
      </c>
      <c r="CQ14" s="154"/>
      <c r="CR14" s="154"/>
      <c r="CS14" s="154"/>
      <c r="CT14" s="88"/>
      <c r="CU14" s="88"/>
      <c r="CV14" s="155" t="s">
        <v>23</v>
      </c>
      <c r="CW14" s="155"/>
      <c r="CX14" s="155"/>
      <c r="CY14" s="155"/>
      <c r="CZ14" s="112"/>
      <c r="DA14" s="112"/>
      <c r="DB14" s="154" t="s">
        <v>34</v>
      </c>
      <c r="DC14" s="154"/>
      <c r="DD14" s="154"/>
      <c r="DE14" s="154"/>
      <c r="DF14" s="88"/>
      <c r="DG14" s="88"/>
      <c r="DH14" s="155" t="s">
        <v>24</v>
      </c>
      <c r="DI14" s="155"/>
      <c r="DJ14" s="155"/>
      <c r="DK14" s="155"/>
      <c r="DL14" s="112"/>
      <c r="DM14" s="112"/>
      <c r="DN14" s="154" t="s">
        <v>35</v>
      </c>
      <c r="DO14" s="154"/>
      <c r="DP14" s="154"/>
      <c r="DQ14" s="154"/>
      <c r="DR14" s="88"/>
      <c r="DS14" s="88"/>
      <c r="DT14" s="88"/>
      <c r="DU14" s="89"/>
      <c r="DV14" s="87"/>
      <c r="DW14" s="88"/>
      <c r="DX14" s="88"/>
      <c r="DY14" s="88"/>
      <c r="DZ14" s="154" t="s">
        <v>31</v>
      </c>
      <c r="EA14" s="154"/>
      <c r="EB14" s="154"/>
      <c r="EC14" s="154"/>
      <c r="ED14" s="88"/>
      <c r="EE14" s="88"/>
      <c r="EF14" s="155" t="s">
        <v>21</v>
      </c>
      <c r="EG14" s="155"/>
      <c r="EH14" s="155"/>
      <c r="EI14" s="155"/>
      <c r="EJ14" s="112"/>
      <c r="EK14" s="112"/>
      <c r="EL14" s="154" t="s">
        <v>32</v>
      </c>
      <c r="EM14" s="154"/>
      <c r="EN14" s="154"/>
      <c r="EO14" s="154"/>
      <c r="EP14" s="88"/>
      <c r="EQ14" s="88"/>
      <c r="ER14" s="155" t="s">
        <v>22</v>
      </c>
      <c r="ES14" s="155"/>
      <c r="ET14" s="155"/>
      <c r="EU14" s="155"/>
      <c r="EV14" s="112"/>
      <c r="EW14" s="112"/>
      <c r="EX14" s="154" t="s">
        <v>33</v>
      </c>
      <c r="EY14" s="154"/>
      <c r="EZ14" s="154"/>
      <c r="FA14" s="154"/>
      <c r="FB14" s="88"/>
      <c r="FC14" s="88"/>
      <c r="FD14" s="155" t="s">
        <v>23</v>
      </c>
      <c r="FE14" s="155"/>
      <c r="FF14" s="155"/>
      <c r="FG14" s="155"/>
      <c r="FH14" s="112"/>
      <c r="FI14" s="112"/>
      <c r="FJ14" s="154" t="s">
        <v>34</v>
      </c>
      <c r="FK14" s="154"/>
      <c r="FL14" s="154"/>
      <c r="FM14" s="154"/>
      <c r="FN14" s="88"/>
      <c r="FO14" s="88"/>
      <c r="FP14" s="155" t="s">
        <v>24</v>
      </c>
      <c r="FQ14" s="155"/>
      <c r="FR14" s="155"/>
      <c r="FS14" s="155"/>
      <c r="FT14" s="112"/>
      <c r="FU14" s="112"/>
      <c r="FV14" s="154" t="s">
        <v>35</v>
      </c>
      <c r="FW14" s="154"/>
      <c r="FX14" s="154"/>
      <c r="FY14" s="154"/>
      <c r="FZ14" s="88"/>
      <c r="GA14" s="88"/>
      <c r="GB14" s="88"/>
      <c r="GC14" s="89"/>
      <c r="GD14" s="75"/>
    </row>
    <row r="15" spans="1:186" ht="20.149999999999999" customHeight="1" x14ac:dyDescent="0.25">
      <c r="A15" s="84" t="s">
        <v>17</v>
      </c>
      <c r="B15" s="53" t="str">
        <f>IF(LEN(C15)=0,"",C15)</f>
        <v/>
      </c>
      <c r="C15" s="160"/>
      <c r="D15" s="133"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49999999999999" customHeight="1" x14ac:dyDescent="0.25">
      <c r="A16" s="84" t="s">
        <v>18</v>
      </c>
      <c r="B16" s="53" t="str">
        <f>IF(LEN(C17)=0,"",C17)</f>
        <v/>
      </c>
      <c r="C16" s="161"/>
      <c r="D16" s="131"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49999999999999" customHeight="1" x14ac:dyDescent="0.25">
      <c r="A17" s="84" t="s">
        <v>17</v>
      </c>
      <c r="B17" s="53" t="str">
        <f>IF(LEN(C19)=0,"",C19)</f>
        <v/>
      </c>
      <c r="C17" s="160"/>
      <c r="D17" s="130"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49999999999999" customHeight="1" x14ac:dyDescent="0.35">
      <c r="A18" s="84" t="s">
        <v>18</v>
      </c>
      <c r="B18" s="53" t="str">
        <f>IF(LEN(C21)=0,"",C21)</f>
        <v/>
      </c>
      <c r="C18" s="161"/>
      <c r="D18" s="132"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49999999999999" customHeight="1" x14ac:dyDescent="0.25">
      <c r="A19" s="84" t="s">
        <v>17</v>
      </c>
      <c r="B19" s="53" t="str">
        <f>IF(LEN(C23)=0,"",C23)</f>
        <v/>
      </c>
      <c r="C19" s="160"/>
      <c r="D19" s="130"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49999999999999" customHeight="1" x14ac:dyDescent="0.25">
      <c r="A20" s="84" t="s">
        <v>18</v>
      </c>
      <c r="B20" s="53" t="str">
        <f>IF(LEN(C25)=0,"",C25)</f>
        <v/>
      </c>
      <c r="C20" s="162"/>
      <c r="D20" s="131"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49999999999999" customHeight="1" x14ac:dyDescent="0.25">
      <c r="A21" s="84" t="s">
        <v>17</v>
      </c>
      <c r="B21" s="53" t="str">
        <f>IF(LEN(C27)=0,"",C27)</f>
        <v/>
      </c>
      <c r="C21" s="160"/>
      <c r="D21" s="130"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49999999999999" customHeight="1" x14ac:dyDescent="0.25">
      <c r="A22" s="84" t="s">
        <v>18</v>
      </c>
      <c r="B22" s="53" t="str">
        <f>IF(LEN(C29)=0,"",C29)</f>
        <v/>
      </c>
      <c r="C22" s="162"/>
      <c r="D22" s="131"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49999999999999" customHeight="1" x14ac:dyDescent="0.25">
      <c r="A23" s="84" t="s">
        <v>17</v>
      </c>
      <c r="B23" s="53" t="str">
        <f>IF(LEN(C31)=0,"",C31)</f>
        <v/>
      </c>
      <c r="C23" s="160"/>
      <c r="D23" s="130"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49999999999999" customHeight="1" x14ac:dyDescent="0.25">
      <c r="A24" s="84" t="s">
        <v>18</v>
      </c>
      <c r="B24" s="53" t="str">
        <f>IF(LEN(C33)=0,"",C33)</f>
        <v/>
      </c>
      <c r="C24" s="162"/>
      <c r="D24" s="131"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49999999999999" customHeight="1" x14ac:dyDescent="0.25">
      <c r="A25" s="84" t="s">
        <v>17</v>
      </c>
      <c r="B25" s="53" t="str">
        <f>IF(LEN(C35)=0,"",C35)</f>
        <v/>
      </c>
      <c r="C25" s="160"/>
      <c r="D25" s="130"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49999999999999" customHeight="1" x14ac:dyDescent="0.35">
      <c r="A26" s="84" t="s">
        <v>18</v>
      </c>
      <c r="B26" s="53" t="str">
        <f>IF(LEN(C37)=0,"",C37)</f>
        <v/>
      </c>
      <c r="C26" s="161"/>
      <c r="D26" s="132" t="str">
        <f t="shared" si="0"/>
        <v>0h</v>
      </c>
      <c r="E26" s="30">
        <v>0</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49999999999999" customHeight="1" x14ac:dyDescent="0.25">
      <c r="A27" s="84" t="s">
        <v>17</v>
      </c>
      <c r="B27" s="53" t="str">
        <f>IF(LEN(C39)=0,"",C39)</f>
        <v/>
      </c>
      <c r="C27" s="160"/>
      <c r="D27" s="130"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49999999999999" customHeight="1" x14ac:dyDescent="0.35">
      <c r="A28" s="84" t="s">
        <v>18</v>
      </c>
      <c r="B28" s="53" t="str">
        <f>IF(LEN(C41)=0,"",C41)</f>
        <v/>
      </c>
      <c r="C28" s="161"/>
      <c r="D28" s="132"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49999999999999" customHeight="1" x14ac:dyDescent="0.25">
      <c r="A29" s="84" t="s">
        <v>17</v>
      </c>
      <c r="B29" s="53" t="str">
        <f>IF(LEN(C43)=0,"",C43)</f>
        <v/>
      </c>
      <c r="C29" s="160"/>
      <c r="D29" s="130"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49999999999999" customHeight="1" x14ac:dyDescent="0.35">
      <c r="A30" s="84" t="s">
        <v>18</v>
      </c>
      <c r="B30" s="53" t="str">
        <f>IF(LEN(C45)=0,"",C45)</f>
        <v/>
      </c>
      <c r="C30" s="161"/>
      <c r="D30" s="132"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49999999999999" customHeight="1" x14ac:dyDescent="0.25">
      <c r="A31" s="84" t="s">
        <v>17</v>
      </c>
      <c r="B31" s="53" t="str">
        <f>IF(LEN(C47)=0,"",C47)</f>
        <v/>
      </c>
      <c r="C31" s="160"/>
      <c r="D31" s="130"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49999999999999" customHeight="1" x14ac:dyDescent="0.35">
      <c r="A32" s="84" t="s">
        <v>18</v>
      </c>
      <c r="B32" s="53" t="str">
        <f>IF(LEN(C49)=0,"",C49)</f>
        <v/>
      </c>
      <c r="C32" s="161"/>
      <c r="D32" s="132" t="str">
        <f t="shared" si="0"/>
        <v>0h</v>
      </c>
      <c r="E32" s="22">
        <v>0</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49999999999999" customHeight="1" x14ac:dyDescent="0.25">
      <c r="A33" s="84" t="s">
        <v>17</v>
      </c>
      <c r="B33" s="53" t="str">
        <f>IF(LEN(C51)=0,"",C51)</f>
        <v/>
      </c>
      <c r="C33" s="160"/>
      <c r="D33" s="130"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49999999999999" customHeight="1" x14ac:dyDescent="0.35">
      <c r="A34" s="84" t="s">
        <v>18</v>
      </c>
      <c r="B34" s="53" t="str">
        <f>IF(LEN(C53)=0,"",C53)</f>
        <v/>
      </c>
      <c r="C34" s="161"/>
      <c r="D34" s="132"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49999999999999" customHeight="1" x14ac:dyDescent="0.25">
      <c r="A35" s="84" t="s">
        <v>17</v>
      </c>
      <c r="B35" s="53" t="str">
        <f>IF(LEN(C55)=0,"",C55)</f>
        <v/>
      </c>
      <c r="C35" s="160"/>
      <c r="D35" s="130"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49999999999999" customHeight="1" x14ac:dyDescent="0.25">
      <c r="A36" s="84" t="s">
        <v>18</v>
      </c>
      <c r="B36" s="53" t="str">
        <f>IF(LEN(C57)=0,"",C57)</f>
        <v/>
      </c>
      <c r="C36" s="162"/>
      <c r="D36" s="131"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49999999999999" customHeight="1" x14ac:dyDescent="0.25">
      <c r="A37" s="84" t="s">
        <v>17</v>
      </c>
      <c r="B37" s="53" t="str">
        <f>IF(LEN(C59)=0,"",C59)</f>
        <v/>
      </c>
      <c r="C37" s="160"/>
      <c r="D37" s="130"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49999999999999" customHeight="1" x14ac:dyDescent="0.35">
      <c r="A38" s="84" t="s">
        <v>18</v>
      </c>
      <c r="B38" s="53" t="str">
        <f>IF(LEN(C61)=0,"",C61)</f>
        <v/>
      </c>
      <c r="C38" s="161"/>
      <c r="D38" s="132"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49999999999999" customHeight="1" x14ac:dyDescent="0.25">
      <c r="A39" s="84" t="s">
        <v>17</v>
      </c>
      <c r="B39" s="53" t="str">
        <f>IF(LEN(C63)=0,"",C63)</f>
        <v/>
      </c>
      <c r="C39" s="160"/>
      <c r="D39" s="130"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49999999999999" customHeight="1" x14ac:dyDescent="0.25">
      <c r="A40" s="84" t="s">
        <v>18</v>
      </c>
      <c r="B40" s="53" t="str">
        <f>IF(LEN(C65)=0,"",C65)</f>
        <v/>
      </c>
      <c r="C40" s="162"/>
      <c r="D40" s="131"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49999999999999" customHeight="1" x14ac:dyDescent="0.25">
      <c r="A41" s="84" t="s">
        <v>17</v>
      </c>
      <c r="B41" s="53" t="str">
        <f>IF(LEN(C67)=0,"",C67)</f>
        <v/>
      </c>
      <c r="C41" s="160"/>
      <c r="D41" s="130"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49999999999999" customHeight="1" x14ac:dyDescent="0.35">
      <c r="A42" s="84" t="s">
        <v>18</v>
      </c>
      <c r="B42" s="53" t="str">
        <f>IF(LEN(C69)=0,"",C69)</f>
        <v/>
      </c>
      <c r="C42" s="161"/>
      <c r="D42" s="132"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49999999999999" customHeight="1" x14ac:dyDescent="0.25">
      <c r="A43" s="84" t="s">
        <v>17</v>
      </c>
      <c r="B43" s="53" t="str">
        <f>IF(LEN(C71)=0,"",C71)</f>
        <v/>
      </c>
      <c r="C43" s="160"/>
      <c r="D43" s="130"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49999999999999" customHeight="1" x14ac:dyDescent="0.35">
      <c r="A44" s="84" t="s">
        <v>18</v>
      </c>
      <c r="B44" s="53" t="str">
        <f>IF(LEN(C73)=0,"",C73)</f>
        <v/>
      </c>
      <c r="C44" s="161"/>
      <c r="D44" s="132"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49999999999999" customHeight="1" x14ac:dyDescent="0.25">
      <c r="A45" s="84" t="s">
        <v>17</v>
      </c>
      <c r="B45" s="53" t="str">
        <f>IF(LEN(C75)=0,"",C75)</f>
        <v/>
      </c>
      <c r="C45" s="160"/>
      <c r="D45" s="130"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49999999999999" customHeight="1" x14ac:dyDescent="0.25">
      <c r="A46" s="84" t="s">
        <v>18</v>
      </c>
      <c r="B46" s="53" t="str">
        <f>IF(LEN(C77)=0,"",C77)</f>
        <v/>
      </c>
      <c r="C46" s="162"/>
      <c r="D46" s="131"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49999999999999" customHeight="1" x14ac:dyDescent="0.25">
      <c r="A47" s="84" t="s">
        <v>17</v>
      </c>
      <c r="B47" s="53" t="str">
        <f>IF(LEN(C79)=0,"",C79)</f>
        <v/>
      </c>
      <c r="C47" s="160"/>
      <c r="D47" s="130"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49999999999999" customHeight="1" x14ac:dyDescent="0.35">
      <c r="A48" s="84" t="s">
        <v>18</v>
      </c>
      <c r="B48" s="53" t="str">
        <f>IF(LEN(C81)=0,"",C81)</f>
        <v/>
      </c>
      <c r="C48" s="161"/>
      <c r="D48" s="132"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49999999999999" customHeight="1" x14ac:dyDescent="0.25">
      <c r="A49" s="84" t="s">
        <v>17</v>
      </c>
      <c r="B49" s="53" t="str">
        <f>IF(LEN(C83)=0,"",C83)</f>
        <v/>
      </c>
      <c r="C49" s="160"/>
      <c r="D49" s="130"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49999999999999" customHeight="1" x14ac:dyDescent="0.35">
      <c r="A50" s="84" t="s">
        <v>18</v>
      </c>
      <c r="B50" s="53" t="str">
        <f>IF(LEN(C85)=0,"",C85)</f>
        <v/>
      </c>
      <c r="C50" s="161"/>
      <c r="D50" s="132"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49999999999999" customHeight="1" x14ac:dyDescent="0.25">
      <c r="A51" s="84" t="s">
        <v>17</v>
      </c>
      <c r="B51" s="53" t="str">
        <f>IF(LEN(C87)=0,"",C87)</f>
        <v/>
      </c>
      <c r="C51" s="160"/>
      <c r="D51" s="130"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49999999999999" customHeight="1" x14ac:dyDescent="0.25">
      <c r="A52" s="84" t="s">
        <v>18</v>
      </c>
      <c r="B52" s="53" t="str">
        <f>IF(LEN(C89)=0,"",C89)</f>
        <v/>
      </c>
      <c r="C52" s="162"/>
      <c r="D52" s="131"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49999999999999" customHeight="1" x14ac:dyDescent="0.25">
      <c r="A53" s="84" t="s">
        <v>17</v>
      </c>
      <c r="B53" s="53" t="str">
        <f>IF(LEN(C91)=0,"",C91)</f>
        <v/>
      </c>
      <c r="C53" s="160"/>
      <c r="D53" s="130"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49999999999999" customHeight="1" x14ac:dyDescent="0.35">
      <c r="A54" s="84" t="s">
        <v>18</v>
      </c>
      <c r="B54" s="53" t="str">
        <f>IF(LEN(C93)=0,"",C93)</f>
        <v/>
      </c>
      <c r="C54" s="161"/>
      <c r="D54" s="132"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49999999999999" customHeight="1" x14ac:dyDescent="0.25">
      <c r="A55" s="84" t="s">
        <v>17</v>
      </c>
      <c r="B55" s="53"/>
      <c r="C55" s="160"/>
      <c r="D55" s="130"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49999999999999" customHeight="1" x14ac:dyDescent="0.25">
      <c r="A56" s="84" t="s">
        <v>18</v>
      </c>
      <c r="B56" s="53"/>
      <c r="C56" s="162"/>
      <c r="D56" s="131"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49999999999999" customHeight="1" x14ac:dyDescent="0.25">
      <c r="A57" s="84" t="s">
        <v>17</v>
      </c>
      <c r="B57" s="53"/>
      <c r="C57" s="160"/>
      <c r="D57" s="130"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49999999999999" customHeight="1" x14ac:dyDescent="0.35">
      <c r="A58" s="84" t="s">
        <v>18</v>
      </c>
      <c r="B58" s="53"/>
      <c r="C58" s="161"/>
      <c r="D58" s="132"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49999999999999" customHeight="1" x14ac:dyDescent="0.25">
      <c r="A59" s="84" t="s">
        <v>17</v>
      </c>
      <c r="B59" s="53"/>
      <c r="C59" s="160"/>
      <c r="D59" s="130"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49999999999999" customHeight="1" x14ac:dyDescent="0.35">
      <c r="A60" s="84" t="s">
        <v>18</v>
      </c>
      <c r="B60" s="53"/>
      <c r="C60" s="161"/>
      <c r="D60" s="132"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49999999999999" customHeight="1" x14ac:dyDescent="0.25">
      <c r="A61" s="84" t="s">
        <v>17</v>
      </c>
      <c r="B61" s="53"/>
      <c r="C61" s="160"/>
      <c r="D61" s="130"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49999999999999" customHeight="1" x14ac:dyDescent="0.25">
      <c r="A62" s="84" t="s">
        <v>18</v>
      </c>
      <c r="B62" s="53"/>
      <c r="C62" s="162"/>
      <c r="D62" s="131"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49999999999999" customHeight="1" x14ac:dyDescent="0.25">
      <c r="A63" s="84" t="s">
        <v>17</v>
      </c>
      <c r="B63" s="53"/>
      <c r="C63" s="160"/>
      <c r="D63" s="130"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49999999999999" customHeight="1" x14ac:dyDescent="0.35">
      <c r="A64" s="84" t="s">
        <v>18</v>
      </c>
      <c r="B64" s="53"/>
      <c r="C64" s="161"/>
      <c r="D64" s="132"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49999999999999" customHeight="1" x14ac:dyDescent="0.25">
      <c r="A65" s="84" t="s">
        <v>17</v>
      </c>
      <c r="B65" s="53"/>
      <c r="C65" s="160"/>
      <c r="D65" s="130"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49999999999999" customHeight="1" x14ac:dyDescent="0.35">
      <c r="A66" s="84" t="s">
        <v>18</v>
      </c>
      <c r="B66" s="53"/>
      <c r="C66" s="161"/>
      <c r="D66" s="132"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49999999999999" customHeight="1" x14ac:dyDescent="0.25">
      <c r="A67" s="84" t="s">
        <v>17</v>
      </c>
      <c r="B67" s="53"/>
      <c r="C67" s="160"/>
      <c r="D67" s="130"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49999999999999" customHeight="1" x14ac:dyDescent="0.25">
      <c r="A68" s="84" t="s">
        <v>18</v>
      </c>
      <c r="B68" s="53"/>
      <c r="C68" s="162"/>
      <c r="D68" s="131"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49999999999999" customHeight="1" x14ac:dyDescent="0.25">
      <c r="A69" s="84" t="s">
        <v>17</v>
      </c>
      <c r="B69" s="53"/>
      <c r="C69" s="160"/>
      <c r="D69" s="130"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49999999999999" customHeight="1" x14ac:dyDescent="0.35">
      <c r="A70" s="84" t="s">
        <v>18</v>
      </c>
      <c r="B70" s="53"/>
      <c r="C70" s="161"/>
      <c r="D70" s="132"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49999999999999" customHeight="1" x14ac:dyDescent="0.25">
      <c r="A71" s="84" t="s">
        <v>17</v>
      </c>
      <c r="B71" s="53"/>
      <c r="C71" s="160"/>
      <c r="D71" s="130"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49999999999999" customHeight="1" x14ac:dyDescent="0.25">
      <c r="A72" s="84" t="s">
        <v>18</v>
      </c>
      <c r="B72" s="53"/>
      <c r="C72" s="162"/>
      <c r="D72" s="131"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49999999999999" customHeight="1" x14ac:dyDescent="0.25">
      <c r="A73" s="84" t="s">
        <v>17</v>
      </c>
      <c r="B73" s="53"/>
      <c r="C73" s="160"/>
      <c r="D73" s="130"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49999999999999" customHeight="1" x14ac:dyDescent="0.35">
      <c r="A74" s="84" t="s">
        <v>18</v>
      </c>
      <c r="B74" s="53"/>
      <c r="C74" s="161"/>
      <c r="D74" s="132"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49999999999999" customHeight="1" x14ac:dyDescent="0.25">
      <c r="A75" s="84" t="s">
        <v>17</v>
      </c>
      <c r="B75" s="53"/>
      <c r="C75" s="160"/>
      <c r="D75" s="130"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49999999999999" customHeight="1" x14ac:dyDescent="0.35">
      <c r="A76" s="84" t="s">
        <v>18</v>
      </c>
      <c r="B76" s="53"/>
      <c r="C76" s="161"/>
      <c r="D76" s="132"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49999999999999" customHeight="1" x14ac:dyDescent="0.25">
      <c r="A77" s="84" t="s">
        <v>17</v>
      </c>
      <c r="B77" s="53"/>
      <c r="C77" s="160"/>
      <c r="D77" s="130"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49999999999999" customHeight="1" x14ac:dyDescent="0.25">
      <c r="A78" s="84" t="s">
        <v>18</v>
      </c>
      <c r="B78" s="53"/>
      <c r="C78" s="162"/>
      <c r="D78" s="131"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49999999999999" customHeight="1" x14ac:dyDescent="0.25">
      <c r="A79" s="84" t="s">
        <v>17</v>
      </c>
      <c r="B79" s="53"/>
      <c r="C79" s="160"/>
      <c r="D79" s="130"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49999999999999" customHeight="1" x14ac:dyDescent="0.35">
      <c r="A80" s="84" t="s">
        <v>18</v>
      </c>
      <c r="B80" s="53"/>
      <c r="C80" s="161"/>
      <c r="D80" s="132"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49999999999999" customHeight="1" x14ac:dyDescent="0.25">
      <c r="A81" s="84" t="s">
        <v>17</v>
      </c>
      <c r="B81" s="53"/>
      <c r="C81" s="160"/>
      <c r="D81" s="130"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49999999999999" customHeight="1" x14ac:dyDescent="0.35">
      <c r="A82" s="84" t="s">
        <v>18</v>
      </c>
      <c r="B82" s="53"/>
      <c r="C82" s="161"/>
      <c r="D82" s="132"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49999999999999" customHeight="1" x14ac:dyDescent="0.25">
      <c r="A83" s="84" t="s">
        <v>17</v>
      </c>
      <c r="B83" s="53"/>
      <c r="C83" s="160"/>
      <c r="D83" s="130"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49999999999999" customHeight="1" x14ac:dyDescent="0.25">
      <c r="A84" s="84" t="s">
        <v>18</v>
      </c>
      <c r="B84" s="53"/>
      <c r="C84" s="162"/>
      <c r="D84" s="131"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49999999999999" customHeight="1" x14ac:dyDescent="0.25">
      <c r="A85" s="84" t="s">
        <v>17</v>
      </c>
      <c r="B85" s="53"/>
      <c r="C85" s="160"/>
      <c r="D85" s="130"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49999999999999" customHeight="1" x14ac:dyDescent="0.35">
      <c r="A86" s="84" t="s">
        <v>18</v>
      </c>
      <c r="B86" s="53"/>
      <c r="C86" s="161"/>
      <c r="D86" s="132"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49999999999999" customHeight="1" x14ac:dyDescent="0.25">
      <c r="A87" s="84" t="s">
        <v>17</v>
      </c>
      <c r="B87" s="53"/>
      <c r="C87" s="160"/>
      <c r="D87" s="130"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49999999999999" customHeight="1" x14ac:dyDescent="0.25">
      <c r="A88" s="84" t="s">
        <v>18</v>
      </c>
      <c r="B88" s="53"/>
      <c r="C88" s="162"/>
      <c r="D88" s="131"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49999999999999" customHeight="1" x14ac:dyDescent="0.25">
      <c r="A89" s="84" t="s">
        <v>17</v>
      </c>
      <c r="B89" s="53"/>
      <c r="C89" s="160"/>
      <c r="D89" s="130"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49999999999999" customHeight="1" x14ac:dyDescent="0.35">
      <c r="A90" s="84" t="s">
        <v>18</v>
      </c>
      <c r="B90" s="53"/>
      <c r="C90" s="161"/>
      <c r="D90" s="132"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49999999999999" customHeight="1" x14ac:dyDescent="0.25">
      <c r="A91" s="84" t="s">
        <v>17</v>
      </c>
      <c r="B91" s="53"/>
      <c r="C91" s="160"/>
      <c r="D91" s="130"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49999999999999" customHeight="1" x14ac:dyDescent="0.35">
      <c r="A92" s="84" t="s">
        <v>18</v>
      </c>
      <c r="B92" s="53"/>
      <c r="C92" s="161"/>
      <c r="D92" s="132"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49999999999999" customHeight="1" x14ac:dyDescent="0.25">
      <c r="A93" s="84" t="s">
        <v>17</v>
      </c>
      <c r="B93" s="53"/>
      <c r="C93" s="160"/>
      <c r="D93" s="130"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49999999999999" customHeight="1" x14ac:dyDescent="0.25">
      <c r="A94" s="84" t="s">
        <v>18</v>
      </c>
      <c r="B94" s="53"/>
      <c r="C94" s="162"/>
      <c r="D94" s="131"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49999999999999" customHeight="1" x14ac:dyDescent="0.25">
      <c r="B95" s="53"/>
      <c r="C95" s="156" t="s">
        <v>8</v>
      </c>
      <c r="D95" s="157"/>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49999999999999" customHeight="1" thickBot="1" x14ac:dyDescent="0.3">
      <c r="B96" s="53"/>
      <c r="C96" s="158"/>
      <c r="D96" s="159"/>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49999999999999" customHeight="1" x14ac:dyDescent="0.25">
      <c r="B97" s="53"/>
      <c r="C97" s="163" t="s">
        <v>9</v>
      </c>
      <c r="D97" s="164"/>
      <c r="E97" s="102">
        <f>SUM(E16,E18,E20,E22,E24,E26,E28,E30,E32,E34,E36,E38,E40,E42,E44,E46,E48,E50,E52,E54,E56,E58,E60,E62,E64,E66,E68,E70,E72,E74,E76,E78,E80,E82,E84,E86,E88,E90,E92,E94)</f>
        <v>0</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49999999999999" customHeight="1" thickBot="1" x14ac:dyDescent="0.3">
      <c r="B98" s="53"/>
      <c r="C98" s="165"/>
      <c r="D98" s="166"/>
      <c r="E98" s="106" t="str">
        <f xml:space="preserve"> setValueToTime(E97)</f>
        <v>0h</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49999999999999"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12700</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topLeftCell="E1" zoomScaleNormal="100" zoomScaleSheetLayoutView="98" workbookViewId="0">
      <pane ySplit="1" topLeftCell="A2" activePane="bottomLeft" state="frozen"/>
      <selection activeCell="BC13" sqref="BC13"/>
      <selection pane="bottomLeft" activeCell="F1" sqref="F1"/>
    </sheetView>
  </sheetViews>
  <sheetFormatPr baseColWidth="10" defaultColWidth="11.453125" defaultRowHeight="11.5" x14ac:dyDescent="0.25"/>
  <cols>
    <col min="1" max="1" width="29.453125" style="50" customWidth="1"/>
    <col min="2" max="2" width="8.453125" style="50" customWidth="1"/>
    <col min="3" max="3" width="9.26953125" style="50" customWidth="1"/>
    <col min="4" max="4" width="107.1796875" style="50" customWidth="1"/>
    <col min="5" max="5" width="28.453125" style="109" customWidth="1"/>
    <col min="6" max="6" width="17.1796875" style="51" customWidth="1"/>
    <col min="7" max="16384" width="11.453125" style="51"/>
  </cols>
  <sheetData>
    <row r="1" spans="4:4" ht="49.5" customHeight="1" x14ac:dyDescent="0.25">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88900</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88900</xdr:rowOff>
              </from>
              <to>
                <xdr:col>3</xdr:col>
                <xdr:colOff>425450</xdr:colOff>
                <xdr:row>0</xdr:row>
                <xdr:rowOff>584200</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97"/>
  <sheetViews>
    <sheetView showGridLines="0" tabSelected="1" zoomScaleNormal="100" zoomScaleSheetLayoutView="98" workbookViewId="0">
      <pane ySplit="1" topLeftCell="A2" activePane="bottomLeft" state="frozen"/>
      <selection pane="bottomLeft" activeCell="D5" sqref="D5"/>
    </sheetView>
  </sheetViews>
  <sheetFormatPr baseColWidth="10" defaultColWidth="11.453125" defaultRowHeight="11.5" x14ac:dyDescent="0.25"/>
  <cols>
    <col min="1" max="1" width="21.453125" style="50" customWidth="1"/>
    <col min="2" max="2" width="8.453125" style="50" customWidth="1"/>
    <col min="3" max="3" width="8.7265625" style="50" customWidth="1"/>
    <col min="4" max="4" width="91" style="50" customWidth="1"/>
    <col min="5" max="5" width="30.1796875" style="109" customWidth="1"/>
    <col min="6" max="6" width="20.7265625" style="51" customWidth="1"/>
    <col min="7" max="16384" width="11.453125" style="51"/>
  </cols>
  <sheetData>
    <row r="1" spans="1:7" ht="49.9" customHeight="1" thickBot="1" x14ac:dyDescent="0.3"/>
    <row r="2" spans="1:7" s="40" customFormat="1" ht="30" customHeight="1" thickBot="1" x14ac:dyDescent="0.3">
      <c r="A2" s="140" t="s">
        <v>11</v>
      </c>
      <c r="B2" s="148">
        <v>8</v>
      </c>
      <c r="C2" s="148"/>
      <c r="D2" s="141" t="s">
        <v>14</v>
      </c>
      <c r="E2" s="142">
        <v>45437</v>
      </c>
      <c r="F2" s="143"/>
      <c r="G2" s="39"/>
    </row>
    <row r="3" spans="1:7" s="40" customFormat="1" ht="30" customHeight="1" thickBot="1" x14ac:dyDescent="0.3">
      <c r="A3" s="63" t="s">
        <v>4</v>
      </c>
      <c r="B3" s="145" t="s">
        <v>37</v>
      </c>
      <c r="C3" s="144"/>
      <c r="D3" s="63" t="s">
        <v>12</v>
      </c>
      <c r="E3" s="189" t="s">
        <v>13</v>
      </c>
      <c r="F3" s="190"/>
      <c r="G3" s="39"/>
    </row>
    <row r="4" spans="1:7" s="44" customFormat="1" ht="75" x14ac:dyDescent="0.25">
      <c r="A4" s="41" t="s">
        <v>117</v>
      </c>
      <c r="B4" s="42">
        <v>9</v>
      </c>
      <c r="C4" s="136" t="str">
        <f xml:space="preserve"> IF(B4="","",setValueToTime(B4))</f>
        <v>0h45min</v>
      </c>
      <c r="D4" s="43" t="s">
        <v>118</v>
      </c>
      <c r="E4" s="191"/>
      <c r="F4" s="192"/>
      <c r="G4" s="3"/>
    </row>
    <row r="5" spans="1:7" s="44" customFormat="1" ht="12.5" x14ac:dyDescent="0.25">
      <c r="A5" s="45"/>
      <c r="B5" s="46"/>
      <c r="C5" s="137" t="str">
        <f t="shared" ref="C5:C11" si="0" xml:space="preserve"> IF(B5="","",setValueToTime(B5))</f>
        <v/>
      </c>
      <c r="D5" s="47"/>
      <c r="E5" s="183"/>
      <c r="F5" s="184"/>
      <c r="G5" s="3"/>
    </row>
    <row r="6" spans="1:7" s="44" customFormat="1" ht="12.5" x14ac:dyDescent="0.25">
      <c r="A6" s="45"/>
      <c r="B6" s="46"/>
      <c r="C6" s="137" t="str">
        <f t="shared" si="0"/>
        <v/>
      </c>
      <c r="D6" s="47"/>
      <c r="E6" s="183"/>
      <c r="F6" s="184"/>
      <c r="G6" s="3"/>
    </row>
    <row r="7" spans="1:7" s="44" customFormat="1" ht="12.5" x14ac:dyDescent="0.25">
      <c r="A7" s="45"/>
      <c r="B7" s="46"/>
      <c r="C7" s="137"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2.5" x14ac:dyDescent="0.25">
      <c r="A10" s="46"/>
      <c r="B10" s="46"/>
      <c r="C10" s="138" t="str">
        <f t="shared" si="0"/>
        <v/>
      </c>
      <c r="D10" s="47"/>
      <c r="E10" s="183"/>
      <c r="F10" s="184"/>
      <c r="G10" s="3"/>
    </row>
    <row r="11" spans="1:7" s="44" customFormat="1" ht="13" thickBot="1" x14ac:dyDescent="0.3">
      <c r="A11" s="48"/>
      <c r="B11" s="48"/>
      <c r="C11" s="139" t="str">
        <f t="shared" si="0"/>
        <v/>
      </c>
      <c r="D11" s="49"/>
      <c r="E11" s="185"/>
      <c r="F11" s="186"/>
      <c r="G11" s="3"/>
    </row>
    <row r="12" spans="1:7" s="44" customFormat="1" ht="13" thickBot="1" x14ac:dyDescent="0.3">
      <c r="A12" s="146" t="s">
        <v>26</v>
      </c>
      <c r="B12" s="68">
        <f>SUM(B4:B11)</f>
        <v>9</v>
      </c>
      <c r="C12" s="146" t="str">
        <f xml:space="preserve"> setValueToTime(B12)</f>
        <v>0h45min</v>
      </c>
      <c r="D12" s="105"/>
      <c r="E12" s="187"/>
      <c r="F12" s="188"/>
      <c r="G12" s="3"/>
    </row>
    <row r="13" spans="1:7" s="44" customFormat="1" ht="12" thickBot="1" x14ac:dyDescent="0.3">
      <c r="A13" s="62"/>
      <c r="B13" s="62"/>
      <c r="C13" s="62"/>
      <c r="D13" s="62"/>
      <c r="E13" s="62"/>
      <c r="F13" s="62"/>
      <c r="G13" s="3"/>
    </row>
    <row r="14" spans="1:7" s="40" customFormat="1" ht="30" customHeight="1" thickBot="1" x14ac:dyDescent="0.3">
      <c r="A14" s="140" t="s">
        <v>11</v>
      </c>
      <c r="B14" s="148">
        <v>7</v>
      </c>
      <c r="C14" s="148"/>
      <c r="D14" s="141" t="s">
        <v>14</v>
      </c>
      <c r="E14" s="142">
        <v>45436</v>
      </c>
      <c r="F14" s="143"/>
      <c r="G14" s="39"/>
    </row>
    <row r="15" spans="1:7" s="40" customFormat="1" ht="30" customHeight="1" thickBot="1" x14ac:dyDescent="0.3">
      <c r="A15" s="63" t="s">
        <v>4</v>
      </c>
      <c r="B15" s="145" t="s">
        <v>37</v>
      </c>
      <c r="C15" s="144"/>
      <c r="D15" s="63" t="s">
        <v>12</v>
      </c>
      <c r="E15" s="189" t="s">
        <v>13</v>
      </c>
      <c r="F15" s="190"/>
      <c r="G15" s="39"/>
    </row>
    <row r="16" spans="1:7" s="44" customFormat="1" ht="50" x14ac:dyDescent="0.25">
      <c r="A16" s="41" t="s">
        <v>111</v>
      </c>
      <c r="B16" s="42">
        <v>3</v>
      </c>
      <c r="C16" s="136" t="str">
        <f xml:space="preserve"> IF(B16="","",setValueToTime(B16))</f>
        <v>0h15min</v>
      </c>
      <c r="D16" s="43" t="s">
        <v>112</v>
      </c>
      <c r="E16" s="191"/>
      <c r="F16" s="192"/>
      <c r="G16" s="3"/>
    </row>
    <row r="17" spans="1:7" s="44" customFormat="1" ht="25" x14ac:dyDescent="0.25">
      <c r="A17" s="45" t="s">
        <v>113</v>
      </c>
      <c r="B17" s="46">
        <v>2</v>
      </c>
      <c r="C17" s="137" t="str">
        <f t="shared" ref="C17:C23" si="1" xml:space="preserve"> IF(B17="","",setValueToTime(B17))</f>
        <v>0h10min</v>
      </c>
      <c r="D17" s="47" t="s">
        <v>115</v>
      </c>
      <c r="E17" s="183"/>
      <c r="F17" s="184"/>
      <c r="G17" s="3"/>
    </row>
    <row r="18" spans="1:7" s="44" customFormat="1" ht="37.5" x14ac:dyDescent="0.25">
      <c r="A18" s="45" t="s">
        <v>114</v>
      </c>
      <c r="B18" s="46">
        <v>4</v>
      </c>
      <c r="C18" s="137" t="str">
        <f t="shared" si="1"/>
        <v>0h20min</v>
      </c>
      <c r="D18" s="47" t="s">
        <v>116</v>
      </c>
      <c r="E18" s="183"/>
      <c r="F18" s="184"/>
      <c r="G18" s="3"/>
    </row>
    <row r="19" spans="1:7" s="44" customFormat="1" ht="12.5" x14ac:dyDescent="0.25">
      <c r="A19" s="45"/>
      <c r="B19" s="46"/>
      <c r="C19" s="137" t="str">
        <f t="shared" si="1"/>
        <v/>
      </c>
      <c r="D19" s="47"/>
      <c r="E19" s="183"/>
      <c r="F19" s="184"/>
      <c r="G19" s="3"/>
    </row>
    <row r="20" spans="1:7" s="44" customFormat="1" ht="12.5" x14ac:dyDescent="0.25">
      <c r="A20" s="46"/>
      <c r="B20" s="46"/>
      <c r="C20" s="138" t="str">
        <f t="shared" si="1"/>
        <v/>
      </c>
      <c r="D20" s="47"/>
      <c r="E20" s="183"/>
      <c r="F20" s="184"/>
      <c r="G20" s="3"/>
    </row>
    <row r="21" spans="1:7" s="44" customFormat="1" ht="12.5" x14ac:dyDescent="0.25">
      <c r="A21" s="46"/>
      <c r="B21" s="46"/>
      <c r="C21" s="138" t="str">
        <f t="shared" si="1"/>
        <v/>
      </c>
      <c r="D21" s="47"/>
      <c r="E21" s="183"/>
      <c r="F21" s="184"/>
      <c r="G21" s="3"/>
    </row>
    <row r="22" spans="1:7" s="44" customFormat="1" ht="12.5" x14ac:dyDescent="0.25">
      <c r="A22" s="46"/>
      <c r="B22" s="46"/>
      <c r="C22" s="138" t="str">
        <f t="shared" si="1"/>
        <v/>
      </c>
      <c r="D22" s="47"/>
      <c r="E22" s="183"/>
      <c r="F22" s="184"/>
      <c r="G22" s="3"/>
    </row>
    <row r="23" spans="1:7" s="44" customFormat="1" ht="13" thickBot="1" x14ac:dyDescent="0.3">
      <c r="A23" s="48"/>
      <c r="B23" s="48"/>
      <c r="C23" s="139" t="str">
        <f t="shared" si="1"/>
        <v/>
      </c>
      <c r="D23" s="49"/>
      <c r="E23" s="185"/>
      <c r="F23" s="186"/>
      <c r="G23" s="3"/>
    </row>
    <row r="24" spans="1:7" s="44" customFormat="1" ht="13" thickBot="1" x14ac:dyDescent="0.3">
      <c r="A24" s="146" t="s">
        <v>26</v>
      </c>
      <c r="B24" s="68">
        <f>SUM(B16:B23)</f>
        <v>9</v>
      </c>
      <c r="C24" s="146" t="str">
        <f xml:space="preserve"> setValueToTime(B24)</f>
        <v>0h45min</v>
      </c>
      <c r="D24" s="105"/>
      <c r="E24" s="187"/>
      <c r="F24" s="188"/>
      <c r="G24" s="3"/>
    </row>
    <row r="25" spans="1:7" s="44" customFormat="1" ht="12" thickBot="1" x14ac:dyDescent="0.3">
      <c r="A25" s="62"/>
      <c r="B25" s="62"/>
      <c r="C25" s="62"/>
      <c r="D25" s="62"/>
      <c r="E25" s="62"/>
      <c r="F25" s="62"/>
      <c r="G25" s="3"/>
    </row>
    <row r="26" spans="1:7" s="40" customFormat="1" ht="30" customHeight="1" thickBot="1" x14ac:dyDescent="0.3">
      <c r="A26" s="140" t="s">
        <v>11</v>
      </c>
      <c r="B26" s="148">
        <v>6</v>
      </c>
      <c r="C26" s="148"/>
      <c r="D26" s="141" t="s">
        <v>14</v>
      </c>
      <c r="E26" s="142">
        <v>45427</v>
      </c>
      <c r="F26" s="143"/>
      <c r="G26" s="39"/>
    </row>
    <row r="27" spans="1:7" s="40" customFormat="1" ht="30" customHeight="1" thickBot="1" x14ac:dyDescent="0.3">
      <c r="A27" s="63" t="s">
        <v>4</v>
      </c>
      <c r="B27" s="145" t="s">
        <v>37</v>
      </c>
      <c r="C27" s="144"/>
      <c r="D27" s="63" t="s">
        <v>12</v>
      </c>
      <c r="E27" s="189" t="s">
        <v>13</v>
      </c>
      <c r="F27" s="190"/>
      <c r="G27" s="39"/>
    </row>
    <row r="28" spans="1:7" s="44" customFormat="1" ht="37.5" x14ac:dyDescent="0.25">
      <c r="A28" s="41" t="s">
        <v>97</v>
      </c>
      <c r="B28" s="42">
        <v>6</v>
      </c>
      <c r="C28" s="136" t="str">
        <f xml:space="preserve"> IF(B28="","",setValueToTime(B28))</f>
        <v>0h30min</v>
      </c>
      <c r="D28" s="43" t="s">
        <v>98</v>
      </c>
      <c r="E28" s="191"/>
      <c r="F28" s="192"/>
      <c r="G28" s="3"/>
    </row>
    <row r="29" spans="1:7" s="44" customFormat="1" ht="37.5" x14ac:dyDescent="0.25">
      <c r="A29" s="45" t="s">
        <v>99</v>
      </c>
      <c r="B29" s="46">
        <v>6</v>
      </c>
      <c r="C29" s="137" t="str">
        <f t="shared" ref="C29:C35" si="2" xml:space="preserve"> IF(B29="","",setValueToTime(B29))</f>
        <v>0h30min</v>
      </c>
      <c r="D29" s="47" t="s">
        <v>100</v>
      </c>
      <c r="E29" s="183"/>
      <c r="F29" s="184"/>
      <c r="G29" s="3"/>
    </row>
    <row r="30" spans="1:7" s="44" customFormat="1" ht="37.5" x14ac:dyDescent="0.25">
      <c r="A30" s="45" t="s">
        <v>101</v>
      </c>
      <c r="B30" s="46">
        <v>6</v>
      </c>
      <c r="C30" s="137" t="str">
        <f t="shared" si="2"/>
        <v>0h30min</v>
      </c>
      <c r="D30" s="47" t="s">
        <v>102</v>
      </c>
      <c r="E30" s="183"/>
      <c r="F30" s="184"/>
      <c r="G30" s="3"/>
    </row>
    <row r="31" spans="1:7" s="44" customFormat="1" ht="25" x14ac:dyDescent="0.25">
      <c r="A31" s="45" t="s">
        <v>103</v>
      </c>
      <c r="B31" s="46">
        <v>5</v>
      </c>
      <c r="C31" s="137" t="str">
        <f t="shared" si="2"/>
        <v>0h25min</v>
      </c>
      <c r="D31" s="47" t="s">
        <v>106</v>
      </c>
      <c r="E31" s="183"/>
      <c r="F31" s="184"/>
      <c r="G31" s="3"/>
    </row>
    <row r="32" spans="1:7" s="44" customFormat="1" ht="25" x14ac:dyDescent="0.25">
      <c r="A32" s="46" t="s">
        <v>104</v>
      </c>
      <c r="B32" s="46">
        <v>3</v>
      </c>
      <c r="C32" s="138" t="str">
        <f t="shared" si="2"/>
        <v>0h15min</v>
      </c>
      <c r="D32" s="47" t="s">
        <v>107</v>
      </c>
      <c r="E32" s="183"/>
      <c r="F32" s="184"/>
      <c r="G32" s="3"/>
    </row>
    <row r="33" spans="1:7" s="44" customFormat="1" ht="25" x14ac:dyDescent="0.25">
      <c r="A33" s="46" t="s">
        <v>105</v>
      </c>
      <c r="B33" s="46">
        <v>4</v>
      </c>
      <c r="C33" s="138" t="str">
        <f t="shared" si="2"/>
        <v>0h20min</v>
      </c>
      <c r="D33" s="47" t="s">
        <v>108</v>
      </c>
      <c r="E33" s="183"/>
      <c r="F33" s="184"/>
      <c r="G33" s="3"/>
    </row>
    <row r="34" spans="1:7" s="44" customFormat="1" ht="25" x14ac:dyDescent="0.25">
      <c r="A34" s="46" t="s">
        <v>109</v>
      </c>
      <c r="B34" s="46">
        <v>4</v>
      </c>
      <c r="C34" s="138" t="str">
        <f t="shared" si="2"/>
        <v>0h20min</v>
      </c>
      <c r="D34" s="47" t="s">
        <v>110</v>
      </c>
      <c r="E34" s="183"/>
      <c r="F34" s="184"/>
      <c r="G34" s="3"/>
    </row>
    <row r="35" spans="1:7" s="44" customFormat="1" ht="13" thickBot="1" x14ac:dyDescent="0.3">
      <c r="A35" s="48"/>
      <c r="B35" s="48"/>
      <c r="C35" s="139" t="str">
        <f t="shared" si="2"/>
        <v/>
      </c>
      <c r="D35" s="49"/>
      <c r="E35" s="185"/>
      <c r="F35" s="186"/>
      <c r="G35" s="3"/>
    </row>
    <row r="36" spans="1:7" s="44" customFormat="1" ht="13" thickBot="1" x14ac:dyDescent="0.3">
      <c r="A36" s="146" t="s">
        <v>26</v>
      </c>
      <c r="B36" s="68">
        <f>SUM(B28:B35)</f>
        <v>34</v>
      </c>
      <c r="C36" s="146" t="str">
        <f xml:space="preserve"> setValueToTime(B36)</f>
        <v>2h50min</v>
      </c>
      <c r="D36" s="105"/>
      <c r="E36" s="187"/>
      <c r="F36" s="188"/>
      <c r="G36" s="3"/>
    </row>
    <row r="37" spans="1:7" s="44" customFormat="1" ht="12" thickBot="1" x14ac:dyDescent="0.3">
      <c r="A37" s="62"/>
      <c r="B37" s="62"/>
      <c r="C37" s="62"/>
      <c r="D37" s="62"/>
      <c r="E37" s="62"/>
      <c r="F37" s="62"/>
      <c r="G37" s="3"/>
    </row>
    <row r="38" spans="1:7" s="40" customFormat="1" ht="30" customHeight="1" thickBot="1" x14ac:dyDescent="0.3">
      <c r="A38" s="140" t="s">
        <v>11</v>
      </c>
      <c r="B38" s="148">
        <v>5</v>
      </c>
      <c r="C38" s="148"/>
      <c r="D38" s="141" t="s">
        <v>14</v>
      </c>
      <c r="E38" s="142">
        <v>45427</v>
      </c>
      <c r="F38" s="143"/>
      <c r="G38" s="39"/>
    </row>
    <row r="39" spans="1:7" s="40" customFormat="1" ht="30" customHeight="1" thickBot="1" x14ac:dyDescent="0.3">
      <c r="A39" s="63" t="s">
        <v>4</v>
      </c>
      <c r="B39" s="145" t="s">
        <v>37</v>
      </c>
      <c r="C39" s="144"/>
      <c r="D39" s="63" t="s">
        <v>12</v>
      </c>
      <c r="E39" s="189" t="s">
        <v>13</v>
      </c>
      <c r="F39" s="190"/>
      <c r="G39" s="39"/>
    </row>
    <row r="40" spans="1:7" s="44" customFormat="1" ht="12.5" x14ac:dyDescent="0.25">
      <c r="A40" s="41" t="s">
        <v>81</v>
      </c>
      <c r="B40" s="42">
        <v>9</v>
      </c>
      <c r="C40" s="136" t="str">
        <f xml:space="preserve"> IF(B40="","",setValueToTime(B40))</f>
        <v>0h45min</v>
      </c>
      <c r="D40" s="43" t="s">
        <v>82</v>
      </c>
      <c r="E40" s="191"/>
      <c r="F40" s="192"/>
      <c r="G40" s="3"/>
    </row>
    <row r="41" spans="1:7" s="44" customFormat="1" ht="25" x14ac:dyDescent="0.25">
      <c r="A41" s="45" t="s">
        <v>83</v>
      </c>
      <c r="B41" s="46">
        <v>3</v>
      </c>
      <c r="C41" s="137" t="str">
        <f t="shared" ref="C41:C47" si="3" xml:space="preserve"> IF(B41="","",setValueToTime(B41))</f>
        <v>0h15min</v>
      </c>
      <c r="D41" s="47" t="s">
        <v>84</v>
      </c>
      <c r="E41" s="183"/>
      <c r="F41" s="184"/>
      <c r="G41" s="3"/>
    </row>
    <row r="42" spans="1:7" s="44" customFormat="1" ht="25" x14ac:dyDescent="0.25">
      <c r="A42" s="45" t="s">
        <v>85</v>
      </c>
      <c r="B42" s="46">
        <v>6</v>
      </c>
      <c r="C42" s="137" t="str">
        <f t="shared" si="3"/>
        <v>0h30min</v>
      </c>
      <c r="D42" s="47" t="s">
        <v>96</v>
      </c>
      <c r="E42" s="183"/>
      <c r="F42" s="184"/>
      <c r="G42" s="3"/>
    </row>
    <row r="43" spans="1:7" s="44" customFormat="1" ht="37.5" x14ac:dyDescent="0.25">
      <c r="A43" s="45" t="s">
        <v>86</v>
      </c>
      <c r="B43" s="46">
        <v>4</v>
      </c>
      <c r="C43" s="137" t="str">
        <f t="shared" si="3"/>
        <v>0h20min</v>
      </c>
      <c r="D43" s="47" t="s">
        <v>87</v>
      </c>
      <c r="E43" s="183"/>
      <c r="F43" s="184"/>
      <c r="G43" s="3"/>
    </row>
    <row r="44" spans="1:7" s="44" customFormat="1" ht="12.5" x14ac:dyDescent="0.25">
      <c r="A44" s="46" t="s">
        <v>88</v>
      </c>
      <c r="B44" s="46">
        <v>3</v>
      </c>
      <c r="C44" s="138" t="str">
        <f t="shared" si="3"/>
        <v>0h15min</v>
      </c>
      <c r="D44" s="47" t="s">
        <v>89</v>
      </c>
      <c r="E44" s="183"/>
      <c r="F44" s="184"/>
      <c r="G44" s="3"/>
    </row>
    <row r="45" spans="1:7" s="44" customFormat="1" ht="37.5" x14ac:dyDescent="0.25">
      <c r="A45" s="46" t="s">
        <v>90</v>
      </c>
      <c r="B45" s="46">
        <v>4</v>
      </c>
      <c r="C45" s="138" t="str">
        <f t="shared" si="3"/>
        <v>0h20min</v>
      </c>
      <c r="D45" s="47" t="s">
        <v>91</v>
      </c>
      <c r="E45" s="183"/>
      <c r="F45" s="184"/>
      <c r="G45" s="3"/>
    </row>
    <row r="46" spans="1:7" s="44" customFormat="1" ht="25" x14ac:dyDescent="0.25">
      <c r="A46" s="46" t="s">
        <v>92</v>
      </c>
      <c r="B46" s="46">
        <v>3</v>
      </c>
      <c r="C46" s="138" t="str">
        <f t="shared" si="3"/>
        <v>0h15min</v>
      </c>
      <c r="D46" s="47" t="s">
        <v>93</v>
      </c>
      <c r="E46" s="183"/>
      <c r="F46" s="184"/>
      <c r="G46" s="3"/>
    </row>
    <row r="47" spans="1:7" s="44" customFormat="1" ht="75.5" thickBot="1" x14ac:dyDescent="0.3">
      <c r="A47" s="48" t="s">
        <v>94</v>
      </c>
      <c r="B47" s="48">
        <v>3</v>
      </c>
      <c r="C47" s="139" t="str">
        <f t="shared" si="3"/>
        <v>0h15min</v>
      </c>
      <c r="D47" s="49" t="s">
        <v>95</v>
      </c>
      <c r="E47" s="185"/>
      <c r="F47" s="186"/>
      <c r="G47" s="3"/>
    </row>
    <row r="48" spans="1:7" s="44" customFormat="1" ht="13" thickBot="1" x14ac:dyDescent="0.3">
      <c r="A48" s="146" t="s">
        <v>26</v>
      </c>
      <c r="B48" s="68">
        <f>SUM(B40:B47)</f>
        <v>35</v>
      </c>
      <c r="C48" s="146" t="str">
        <f xml:space="preserve"> setValueToTime(B48)</f>
        <v>2h55min</v>
      </c>
      <c r="D48" s="105"/>
      <c r="E48" s="187"/>
      <c r="F48" s="188"/>
      <c r="G48" s="3"/>
    </row>
    <row r="49" spans="1:7" s="44" customFormat="1" ht="12" thickBot="1" x14ac:dyDescent="0.3">
      <c r="A49" s="62"/>
      <c r="B49" s="62"/>
      <c r="C49" s="62"/>
      <c r="D49" s="62"/>
      <c r="E49" s="62"/>
      <c r="F49" s="62"/>
      <c r="G49" s="3"/>
    </row>
    <row r="50" spans="1:7" s="40" customFormat="1" ht="30" customHeight="1" thickBot="1" x14ac:dyDescent="0.3">
      <c r="A50" s="140" t="s">
        <v>11</v>
      </c>
      <c r="B50" s="148">
        <v>4</v>
      </c>
      <c r="C50" s="148"/>
      <c r="D50" s="141" t="s">
        <v>14</v>
      </c>
      <c r="E50" s="142">
        <v>45420</v>
      </c>
      <c r="F50" s="143"/>
      <c r="G50" s="39"/>
    </row>
    <row r="51" spans="1:7" s="40" customFormat="1" ht="30" customHeight="1" thickBot="1" x14ac:dyDescent="0.3">
      <c r="A51" s="63" t="s">
        <v>4</v>
      </c>
      <c r="B51" s="145" t="s">
        <v>37</v>
      </c>
      <c r="C51" s="144"/>
      <c r="D51" s="63" t="s">
        <v>12</v>
      </c>
      <c r="E51" s="189" t="s">
        <v>13</v>
      </c>
      <c r="F51" s="190"/>
      <c r="G51" s="39"/>
    </row>
    <row r="52" spans="1:7" s="44" customFormat="1" ht="58.5" customHeight="1" x14ac:dyDescent="0.25">
      <c r="A52" s="41" t="s">
        <v>72</v>
      </c>
      <c r="B52" s="42">
        <v>12</v>
      </c>
      <c r="C52" s="136" t="str">
        <f xml:space="preserve"> IF(B52="","",setValueToTime(B52))</f>
        <v>1h</v>
      </c>
      <c r="D52" s="43" t="s">
        <v>73</v>
      </c>
      <c r="E52" s="194" t="s">
        <v>79</v>
      </c>
      <c r="F52" s="192"/>
      <c r="G52" s="3"/>
    </row>
    <row r="53" spans="1:7" s="44" customFormat="1" ht="25" x14ac:dyDescent="0.25">
      <c r="A53" s="45" t="s">
        <v>74</v>
      </c>
      <c r="B53" s="46">
        <v>3</v>
      </c>
      <c r="C53" s="137" t="str">
        <f t="shared" ref="C53:C59" si="4" xml:space="preserve"> IF(B53="","",setValueToTime(B53))</f>
        <v>0h15min</v>
      </c>
      <c r="D53" s="47" t="s">
        <v>75</v>
      </c>
      <c r="E53" s="183"/>
      <c r="F53" s="184"/>
      <c r="G53" s="3"/>
    </row>
    <row r="54" spans="1:7" s="44" customFormat="1" ht="12.5" x14ac:dyDescent="0.25">
      <c r="A54" s="45" t="s">
        <v>76</v>
      </c>
      <c r="B54" s="46">
        <v>9</v>
      </c>
      <c r="C54" s="137" t="str">
        <f t="shared" si="4"/>
        <v>0h45min</v>
      </c>
      <c r="D54" s="47" t="s">
        <v>80</v>
      </c>
      <c r="E54" s="183"/>
      <c r="F54" s="184"/>
      <c r="G54" s="3"/>
    </row>
    <row r="55" spans="1:7" s="44" customFormat="1" ht="25" x14ac:dyDescent="0.25">
      <c r="A55" s="45" t="s">
        <v>77</v>
      </c>
      <c r="B55" s="46">
        <v>12</v>
      </c>
      <c r="C55" s="137" t="str">
        <f t="shared" si="4"/>
        <v>1h</v>
      </c>
      <c r="D55" s="47" t="s">
        <v>78</v>
      </c>
      <c r="E55" s="183"/>
      <c r="F55" s="184"/>
      <c r="G55" s="3"/>
    </row>
    <row r="56" spans="1:7" s="44" customFormat="1" ht="12.5" x14ac:dyDescent="0.25">
      <c r="A56" s="46"/>
      <c r="B56" s="46"/>
      <c r="C56" s="138" t="str">
        <f t="shared" si="4"/>
        <v/>
      </c>
      <c r="D56" s="47"/>
      <c r="E56" s="183"/>
      <c r="F56" s="184"/>
      <c r="G56" s="3"/>
    </row>
    <row r="57" spans="1:7" s="44" customFormat="1" ht="12.5" x14ac:dyDescent="0.25">
      <c r="A57" s="46"/>
      <c r="B57" s="46"/>
      <c r="C57" s="138" t="str">
        <f t="shared" si="4"/>
        <v/>
      </c>
      <c r="D57" s="47"/>
      <c r="E57" s="183"/>
      <c r="F57" s="184"/>
      <c r="G57" s="3"/>
    </row>
    <row r="58" spans="1:7" s="44" customFormat="1" ht="12.5" x14ac:dyDescent="0.25">
      <c r="A58" s="46"/>
      <c r="B58" s="46"/>
      <c r="C58" s="138" t="str">
        <f t="shared" si="4"/>
        <v/>
      </c>
      <c r="D58" s="47"/>
      <c r="E58" s="183"/>
      <c r="F58" s="184"/>
      <c r="G58" s="3"/>
    </row>
    <row r="59" spans="1:7" s="44" customFormat="1" ht="13" thickBot="1" x14ac:dyDescent="0.3">
      <c r="A59" s="48"/>
      <c r="B59" s="48"/>
      <c r="C59" s="139" t="str">
        <f t="shared" si="4"/>
        <v/>
      </c>
      <c r="D59" s="49"/>
      <c r="E59" s="185"/>
      <c r="F59" s="186"/>
      <c r="G59" s="3"/>
    </row>
    <row r="60" spans="1:7" s="44" customFormat="1" ht="13" thickBot="1" x14ac:dyDescent="0.3">
      <c r="A60" s="146" t="s">
        <v>26</v>
      </c>
      <c r="B60" s="68">
        <f>SUM(B52:B59)</f>
        <v>36</v>
      </c>
      <c r="C60" s="146" t="str">
        <f xml:space="preserve"> setValueToTime(B60)</f>
        <v>3h</v>
      </c>
      <c r="D60" s="105"/>
      <c r="E60" s="187"/>
      <c r="F60" s="188"/>
      <c r="G60" s="3"/>
    </row>
    <row r="61" spans="1:7" s="44" customFormat="1" ht="12" thickBot="1" x14ac:dyDescent="0.3">
      <c r="A61" s="62"/>
      <c r="B61" s="62"/>
      <c r="C61" s="62"/>
      <c r="D61" s="62"/>
      <c r="E61" s="62"/>
      <c r="F61" s="62"/>
      <c r="G61" s="3"/>
    </row>
    <row r="62" spans="1:7" s="40" customFormat="1" ht="30" customHeight="1" thickBot="1" x14ac:dyDescent="0.3">
      <c r="A62" s="140" t="s">
        <v>11</v>
      </c>
      <c r="B62" s="148">
        <v>3</v>
      </c>
      <c r="C62" s="148"/>
      <c r="D62" s="141" t="s">
        <v>14</v>
      </c>
      <c r="E62" s="142">
        <v>45413</v>
      </c>
      <c r="F62" s="143"/>
      <c r="G62" s="39"/>
    </row>
    <row r="63" spans="1:7" s="40" customFormat="1" ht="30" customHeight="1" thickBot="1" x14ac:dyDescent="0.3">
      <c r="A63" s="63" t="s">
        <v>4</v>
      </c>
      <c r="B63" s="145" t="s">
        <v>37</v>
      </c>
      <c r="C63" s="144"/>
      <c r="D63" s="63" t="s">
        <v>12</v>
      </c>
      <c r="E63" s="189" t="s">
        <v>13</v>
      </c>
      <c r="F63" s="190"/>
      <c r="G63" s="39"/>
    </row>
    <row r="64" spans="1:7" s="44" customFormat="1" ht="37.5" x14ac:dyDescent="0.25">
      <c r="A64" s="41" t="s">
        <v>62</v>
      </c>
      <c r="B64" s="42">
        <v>6</v>
      </c>
      <c r="C64" s="136" t="str">
        <f xml:space="preserve"> IF(B64="","",setValueToTime(B64))</f>
        <v>0h30min</v>
      </c>
      <c r="D64" s="43" t="s">
        <v>63</v>
      </c>
      <c r="E64" s="191"/>
      <c r="F64" s="192"/>
      <c r="G64" s="3"/>
    </row>
    <row r="65" spans="1:7" s="44" customFormat="1" ht="62.5" x14ac:dyDescent="0.25">
      <c r="A65" s="45" t="s">
        <v>64</v>
      </c>
      <c r="B65" s="46">
        <v>6</v>
      </c>
      <c r="C65" s="137" t="str">
        <f t="shared" ref="C65:C71" si="5" xml:space="preserve"> IF(B65="","",setValueToTime(B65))</f>
        <v>0h30min</v>
      </c>
      <c r="D65" s="47" t="s">
        <v>65</v>
      </c>
      <c r="E65" s="183"/>
      <c r="F65" s="184"/>
      <c r="G65" s="3"/>
    </row>
    <row r="66" spans="1:7" s="44" customFormat="1" ht="50" x14ac:dyDescent="0.25">
      <c r="A66" s="45" t="s">
        <v>66</v>
      </c>
      <c r="B66" s="46">
        <v>12</v>
      </c>
      <c r="C66" s="137" t="str">
        <f t="shared" si="5"/>
        <v>1h</v>
      </c>
      <c r="D66" s="47" t="s">
        <v>67</v>
      </c>
      <c r="E66" s="183"/>
      <c r="F66" s="184"/>
      <c r="G66" s="3"/>
    </row>
    <row r="67" spans="1:7" s="44" customFormat="1" ht="50" x14ac:dyDescent="0.25">
      <c r="A67" s="45" t="s">
        <v>68</v>
      </c>
      <c r="B67" s="46">
        <v>9</v>
      </c>
      <c r="C67" s="137" t="str">
        <f t="shared" si="5"/>
        <v>0h45min</v>
      </c>
      <c r="D67" s="47" t="s">
        <v>69</v>
      </c>
      <c r="E67" s="183"/>
      <c r="F67" s="184"/>
      <c r="G67" s="3"/>
    </row>
    <row r="68" spans="1:7" s="44" customFormat="1" ht="25" x14ac:dyDescent="0.25">
      <c r="A68" s="46" t="s">
        <v>71</v>
      </c>
      <c r="B68" s="46">
        <v>3</v>
      </c>
      <c r="C68" s="138" t="str">
        <f t="shared" si="5"/>
        <v>0h15min</v>
      </c>
      <c r="D68" s="47" t="s">
        <v>70</v>
      </c>
      <c r="E68" s="183"/>
      <c r="F68" s="184"/>
      <c r="G68" s="3"/>
    </row>
    <row r="69" spans="1:7" s="44" customFormat="1" ht="12.5" x14ac:dyDescent="0.25">
      <c r="A69" s="46"/>
      <c r="B69" s="46"/>
      <c r="C69" s="138" t="str">
        <f t="shared" si="5"/>
        <v/>
      </c>
      <c r="D69" s="47"/>
      <c r="E69" s="183"/>
      <c r="F69" s="184"/>
      <c r="G69" s="3"/>
    </row>
    <row r="70" spans="1:7" s="44" customFormat="1" ht="12.5" x14ac:dyDescent="0.25">
      <c r="A70" s="46"/>
      <c r="B70" s="46"/>
      <c r="C70" s="138" t="str">
        <f t="shared" si="5"/>
        <v/>
      </c>
      <c r="D70" s="47"/>
      <c r="E70" s="183"/>
      <c r="F70" s="184"/>
      <c r="G70" s="3"/>
    </row>
    <row r="71" spans="1:7" s="44" customFormat="1" ht="13" thickBot="1" x14ac:dyDescent="0.3">
      <c r="A71" s="48"/>
      <c r="B71" s="48"/>
      <c r="C71" s="139" t="str">
        <f t="shared" si="5"/>
        <v/>
      </c>
      <c r="D71" s="49"/>
      <c r="E71" s="185"/>
      <c r="F71" s="186"/>
      <c r="G71" s="3"/>
    </row>
    <row r="72" spans="1:7" s="44" customFormat="1" ht="13" thickBot="1" x14ac:dyDescent="0.3">
      <c r="A72" s="146" t="s">
        <v>26</v>
      </c>
      <c r="B72" s="68">
        <f>SUM(B64:B71)</f>
        <v>36</v>
      </c>
      <c r="C72" s="146" t="str">
        <f xml:space="preserve"> setValueToTime(B72)</f>
        <v>3h</v>
      </c>
      <c r="D72" s="105"/>
      <c r="E72" s="187"/>
      <c r="F72" s="188"/>
      <c r="G72" s="3"/>
    </row>
    <row r="73" spans="1:7" s="44" customFormat="1" ht="12" thickBot="1" x14ac:dyDescent="0.3">
      <c r="A73" s="62"/>
      <c r="B73" s="62"/>
      <c r="C73" s="62"/>
      <c r="D73" s="62"/>
      <c r="E73" s="62"/>
      <c r="F73" s="62"/>
      <c r="G73" s="3"/>
    </row>
    <row r="74" spans="1:7" s="40" customFormat="1" ht="30" customHeight="1" thickBot="1" x14ac:dyDescent="0.3">
      <c r="A74" s="140" t="s">
        <v>11</v>
      </c>
      <c r="B74" s="148">
        <v>2</v>
      </c>
      <c r="C74" s="148"/>
      <c r="D74" s="141" t="s">
        <v>14</v>
      </c>
      <c r="E74" s="142">
        <v>45406</v>
      </c>
      <c r="F74" s="143"/>
      <c r="G74" s="39"/>
    </row>
    <row r="75" spans="1:7" s="40" customFormat="1" ht="30" customHeight="1" thickBot="1" x14ac:dyDescent="0.3">
      <c r="A75" s="63" t="s">
        <v>4</v>
      </c>
      <c r="B75" s="145" t="s">
        <v>37</v>
      </c>
      <c r="C75" s="144"/>
      <c r="D75" s="63" t="s">
        <v>12</v>
      </c>
      <c r="E75" s="189" t="s">
        <v>13</v>
      </c>
      <c r="F75" s="190"/>
      <c r="G75" s="39"/>
    </row>
    <row r="76" spans="1:7" s="44" customFormat="1" ht="25" x14ac:dyDescent="0.25">
      <c r="A76" s="41" t="s">
        <v>55</v>
      </c>
      <c r="B76" s="42">
        <v>12</v>
      </c>
      <c r="C76" s="136" t="str">
        <f xml:space="preserve"> IF(B76="","",setValueToTime(B76))</f>
        <v>1h</v>
      </c>
      <c r="D76" s="43" t="s">
        <v>56</v>
      </c>
      <c r="E76" s="191"/>
      <c r="F76" s="192"/>
      <c r="G76" s="3"/>
    </row>
    <row r="77" spans="1:7" s="44" customFormat="1" ht="62.5" x14ac:dyDescent="0.25">
      <c r="A77" s="45" t="s">
        <v>57</v>
      </c>
      <c r="B77" s="46">
        <v>9</v>
      </c>
      <c r="C77" s="137" t="str">
        <f t="shared" ref="C77:C83" si="6" xml:space="preserve"> IF(B77="","",setValueToTime(B77))</f>
        <v>0h45min</v>
      </c>
      <c r="D77" s="47" t="s">
        <v>58</v>
      </c>
      <c r="E77" s="183"/>
      <c r="F77" s="184"/>
      <c r="G77" s="3"/>
    </row>
    <row r="78" spans="1:7" s="44" customFormat="1" ht="50" x14ac:dyDescent="0.25">
      <c r="A78" s="45" t="s">
        <v>59</v>
      </c>
      <c r="B78" s="46">
        <v>15</v>
      </c>
      <c r="C78" s="137" t="str">
        <f t="shared" si="6"/>
        <v>1h15min</v>
      </c>
      <c r="D78" s="47" t="s">
        <v>61</v>
      </c>
      <c r="E78" s="193" t="s">
        <v>60</v>
      </c>
      <c r="F78" s="184"/>
      <c r="G78" s="3"/>
    </row>
    <row r="79" spans="1:7" s="44" customFormat="1" ht="12.5" x14ac:dyDescent="0.25">
      <c r="A79" s="45"/>
      <c r="B79" s="46"/>
      <c r="C79" s="137" t="str">
        <f t="shared" si="6"/>
        <v/>
      </c>
      <c r="D79" s="47"/>
      <c r="E79" s="183"/>
      <c r="F79" s="184"/>
      <c r="G79" s="3"/>
    </row>
    <row r="80" spans="1:7" s="44" customFormat="1" ht="12.5" x14ac:dyDescent="0.25">
      <c r="A80" s="46"/>
      <c r="B80" s="46"/>
      <c r="C80" s="138" t="str">
        <f t="shared" si="6"/>
        <v/>
      </c>
      <c r="D80" s="47"/>
      <c r="E80" s="183"/>
      <c r="F80" s="184"/>
      <c r="G80" s="3"/>
    </row>
    <row r="81" spans="1:7" s="44" customFormat="1" ht="12.5" x14ac:dyDescent="0.25">
      <c r="A81" s="46"/>
      <c r="B81" s="46"/>
      <c r="C81" s="138" t="str">
        <f t="shared" si="6"/>
        <v/>
      </c>
      <c r="D81" s="47"/>
      <c r="E81" s="183"/>
      <c r="F81" s="184"/>
      <c r="G81" s="3"/>
    </row>
    <row r="82" spans="1:7" s="44" customFormat="1" ht="12.5" x14ac:dyDescent="0.25">
      <c r="A82" s="46"/>
      <c r="B82" s="46"/>
      <c r="C82" s="138" t="str">
        <f t="shared" si="6"/>
        <v/>
      </c>
      <c r="D82" s="47"/>
      <c r="E82" s="183"/>
      <c r="F82" s="184"/>
      <c r="G82" s="3"/>
    </row>
    <row r="83" spans="1:7" s="44" customFormat="1" ht="13" thickBot="1" x14ac:dyDescent="0.3">
      <c r="A83" s="48"/>
      <c r="B83" s="48"/>
      <c r="C83" s="139" t="str">
        <f t="shared" si="6"/>
        <v/>
      </c>
      <c r="D83" s="49"/>
      <c r="E83" s="185"/>
      <c r="F83" s="186"/>
      <c r="G83" s="3"/>
    </row>
    <row r="84" spans="1:7" s="44" customFormat="1" ht="13" thickBot="1" x14ac:dyDescent="0.3">
      <c r="A84" s="146" t="s">
        <v>26</v>
      </c>
      <c r="B84" s="68">
        <f>SUM(B76:B83)</f>
        <v>36</v>
      </c>
      <c r="C84" s="146" t="str">
        <f xml:space="preserve"> setValueToTime(B84)</f>
        <v>3h</v>
      </c>
      <c r="D84" s="105"/>
      <c r="E84" s="187"/>
      <c r="F84" s="188"/>
      <c r="G84" s="3"/>
    </row>
    <row r="85" spans="1:7" s="44" customFormat="1" ht="12" thickBot="1" x14ac:dyDescent="0.3">
      <c r="A85" s="62"/>
      <c r="B85" s="62"/>
      <c r="C85" s="62"/>
      <c r="D85" s="62"/>
      <c r="E85" s="62"/>
      <c r="F85" s="62"/>
      <c r="G85" s="3"/>
    </row>
    <row r="86" spans="1:7" s="40" customFormat="1" ht="30" customHeight="1" thickBot="1" x14ac:dyDescent="0.3">
      <c r="A86" s="140" t="s">
        <v>11</v>
      </c>
      <c r="B86" s="148">
        <v>1</v>
      </c>
      <c r="C86" s="148"/>
      <c r="D86" s="141" t="s">
        <v>14</v>
      </c>
      <c r="E86" s="142">
        <v>45399</v>
      </c>
      <c r="F86" s="143"/>
      <c r="G86" s="39"/>
    </row>
    <row r="87" spans="1:7" s="40" customFormat="1" ht="30" customHeight="1" thickBot="1" x14ac:dyDescent="0.3">
      <c r="A87" s="63" t="s">
        <v>4</v>
      </c>
      <c r="B87" s="145" t="s">
        <v>37</v>
      </c>
      <c r="C87" s="144"/>
      <c r="D87" s="63" t="s">
        <v>12</v>
      </c>
      <c r="E87" s="189" t="s">
        <v>13</v>
      </c>
      <c r="F87" s="190"/>
      <c r="G87" s="39"/>
    </row>
    <row r="88" spans="1:7" s="44" customFormat="1" ht="37.5" x14ac:dyDescent="0.25">
      <c r="A88" s="41" t="s">
        <v>45</v>
      </c>
      <c r="B88" s="42">
        <v>9</v>
      </c>
      <c r="C88" s="136" t="str">
        <f xml:space="preserve"> IF(B88="","",setValueToTime(B88))</f>
        <v>0h45min</v>
      </c>
      <c r="D88" s="43" t="s">
        <v>46</v>
      </c>
      <c r="E88" s="191"/>
      <c r="F88" s="192"/>
      <c r="G88" s="3"/>
    </row>
    <row r="89" spans="1:7" s="44" customFormat="1" ht="37.5" x14ac:dyDescent="0.25">
      <c r="A89" s="45" t="s">
        <v>47</v>
      </c>
      <c r="B89" s="46">
        <v>9</v>
      </c>
      <c r="C89" s="137" t="str">
        <f t="shared" ref="C89:C95" si="7" xml:space="preserve"> IF(B89="","",setValueToTime(B89))</f>
        <v>0h45min</v>
      </c>
      <c r="D89" s="47" t="s">
        <v>48</v>
      </c>
      <c r="E89" s="183"/>
      <c r="F89" s="184"/>
      <c r="G89" s="3"/>
    </row>
    <row r="90" spans="1:7" s="44" customFormat="1" ht="36" customHeight="1" x14ac:dyDescent="0.25">
      <c r="A90" s="45" t="s">
        <v>50</v>
      </c>
      <c r="B90" s="46">
        <v>9</v>
      </c>
      <c r="C90" s="137" t="str">
        <f xml:space="preserve"> IF(B90="","",setValueToTime(B90))</f>
        <v>0h45min</v>
      </c>
      <c r="D90" s="47" t="s">
        <v>53</v>
      </c>
      <c r="E90" s="193" t="s">
        <v>52</v>
      </c>
      <c r="F90" s="184"/>
      <c r="G90" s="3"/>
    </row>
    <row r="91" spans="1:7" s="44" customFormat="1" ht="50" x14ac:dyDescent="0.25">
      <c r="A91" s="45" t="s">
        <v>51</v>
      </c>
      <c r="B91" s="46">
        <v>9</v>
      </c>
      <c r="C91" s="137" t="str">
        <f xml:space="preserve"> IF(B91="","",setValueToTime(B91))</f>
        <v>0h45min</v>
      </c>
      <c r="D91" s="47" t="s">
        <v>54</v>
      </c>
      <c r="E91" s="193" t="s">
        <v>49</v>
      </c>
      <c r="F91" s="184"/>
      <c r="G91" s="3"/>
    </row>
    <row r="92" spans="1:7" s="44" customFormat="1" ht="12.5" x14ac:dyDescent="0.25">
      <c r="A92" s="46"/>
      <c r="B92" s="46"/>
      <c r="C92" s="138" t="str">
        <f t="shared" si="7"/>
        <v/>
      </c>
      <c r="D92" s="47"/>
      <c r="E92" s="183"/>
      <c r="F92" s="184"/>
      <c r="G92" s="3"/>
    </row>
    <row r="93" spans="1:7" s="44" customFormat="1" ht="12.5" x14ac:dyDescent="0.25">
      <c r="A93" s="46"/>
      <c r="B93" s="46"/>
      <c r="C93" s="138" t="str">
        <f t="shared" si="7"/>
        <v/>
      </c>
      <c r="D93" s="47"/>
      <c r="E93" s="183"/>
      <c r="F93" s="184"/>
      <c r="G93" s="3"/>
    </row>
    <row r="94" spans="1:7" s="44" customFormat="1" ht="12.5" x14ac:dyDescent="0.25">
      <c r="A94" s="46"/>
      <c r="B94" s="46"/>
      <c r="C94" s="138" t="str">
        <f t="shared" si="7"/>
        <v/>
      </c>
      <c r="D94" s="47"/>
      <c r="E94" s="183"/>
      <c r="F94" s="184"/>
      <c r="G94" s="3"/>
    </row>
    <row r="95" spans="1:7" s="44" customFormat="1" ht="13" thickBot="1" x14ac:dyDescent="0.3">
      <c r="A95" s="48"/>
      <c r="B95" s="48"/>
      <c r="C95" s="139" t="str">
        <f t="shared" si="7"/>
        <v/>
      </c>
      <c r="D95" s="49"/>
      <c r="E95" s="185"/>
      <c r="F95" s="186"/>
      <c r="G95" s="3"/>
    </row>
    <row r="96" spans="1:7" s="44" customFormat="1" ht="13" thickBot="1" x14ac:dyDescent="0.3">
      <c r="A96" s="146" t="s">
        <v>26</v>
      </c>
      <c r="B96" s="68">
        <f>SUM(B88:B95)</f>
        <v>36</v>
      </c>
      <c r="C96" s="146" t="str">
        <f xml:space="preserve"> setValueToTime(B96)</f>
        <v>3h</v>
      </c>
      <c r="D96" s="105"/>
      <c r="E96" s="187"/>
      <c r="F96" s="188"/>
      <c r="G96" s="3"/>
    </row>
    <row r="97" spans="1:7" s="44" customFormat="1" x14ac:dyDescent="0.25">
      <c r="A97" s="62"/>
      <c r="B97" s="62"/>
      <c r="C97" s="62"/>
      <c r="D97" s="62"/>
      <c r="E97" s="62"/>
      <c r="F97" s="62"/>
      <c r="G97" s="3"/>
    </row>
  </sheetData>
  <sheetProtection formatRows="0" insertRows="0" insertHyperlinks="0" deleteRows="0" selectLockedCells="1"/>
  <mergeCells count="80">
    <mergeCell ref="E8:F8"/>
    <mergeCell ref="E9:F9"/>
    <mergeCell ref="E10:F10"/>
    <mergeCell ref="E11:F11"/>
    <mergeCell ref="E12:F12"/>
    <mergeCell ref="E3:F3"/>
    <mergeCell ref="E4:F4"/>
    <mergeCell ref="E5:F5"/>
    <mergeCell ref="E6:F6"/>
    <mergeCell ref="E7:F7"/>
    <mergeCell ref="E56:F56"/>
    <mergeCell ref="E57:F57"/>
    <mergeCell ref="E58:F58"/>
    <mergeCell ref="E59:F59"/>
    <mergeCell ref="E60:F60"/>
    <mergeCell ref="E51:F51"/>
    <mergeCell ref="E52:F52"/>
    <mergeCell ref="E53:F53"/>
    <mergeCell ref="E54:F54"/>
    <mergeCell ref="E55:F55"/>
    <mergeCell ref="E93:F93"/>
    <mergeCell ref="E94:F94"/>
    <mergeCell ref="E95:F95"/>
    <mergeCell ref="E96:F96"/>
    <mergeCell ref="E87:F87"/>
    <mergeCell ref="E88:F88"/>
    <mergeCell ref="E89:F89"/>
    <mergeCell ref="E90:F90"/>
    <mergeCell ref="E91:F91"/>
    <mergeCell ref="E92:F92"/>
    <mergeCell ref="E75:F75"/>
    <mergeCell ref="E76:F76"/>
    <mergeCell ref="E77:F77"/>
    <mergeCell ref="E78:F78"/>
    <mergeCell ref="E79:F79"/>
    <mergeCell ref="E80:F80"/>
    <mergeCell ref="E81:F81"/>
    <mergeCell ref="E82:F82"/>
    <mergeCell ref="E83:F83"/>
    <mergeCell ref="E84:F84"/>
    <mergeCell ref="E63:F63"/>
    <mergeCell ref="E64:F64"/>
    <mergeCell ref="E65:F65"/>
    <mergeCell ref="E66:F66"/>
    <mergeCell ref="E67:F67"/>
    <mergeCell ref="E68:F68"/>
    <mergeCell ref="E69:F69"/>
    <mergeCell ref="E70:F70"/>
    <mergeCell ref="E71:F71"/>
    <mergeCell ref="E72:F72"/>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s>
  <phoneticPr fontId="0" type="noConversion"/>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88:B95 B76:B83 B64:B71 B52:B59 B40:B47 B28:B35 B16:B23 B4:B11" xr:uid="{93D28E34-B8CE-48C2-931B-1F13F54FBD5A}">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xr:uid="{FD20DB42-6E5F-412E-A8E2-A910B9673906}">
      <formula1>0</formula1>
      <formula2>60</formula2>
    </dataValidation>
    <dataValidation type="list" allowBlank="1" showInputMessage="1" showErrorMessage="1" sqref="A88:A95 A76:A83 A64:A71 A52:A59 A40:A47 A28:A35 A16:A23 A4:A11" xr:uid="{F4214AE3-BD51-4830-A202-0C539249822B}">
      <formula1>ListeTaches</formula1>
    </dataValidation>
  </dataValidations>
  <hyperlinks>
    <hyperlink ref="E90" r:id="rId1" xr:uid="{DE5C25EB-DBFB-48CD-9A18-CA90E7358E08}"/>
    <hyperlink ref="E91" r:id="rId2" xr:uid="{A5BA8772-AB6A-47AA-BC99-6177C6996A94}"/>
    <hyperlink ref="E78" r:id="rId3" xr:uid="{04F2625D-09C7-46B6-8CFE-C398A0A77C86}"/>
    <hyperlink ref="E52" r:id="rId4" display="https://dev.to/jobizil/compare-hash-passwords-using-crypto-module-using-the-nodejs-part-2-3304 " xr:uid="{96B24590-2AA5-4211-A06F-39E60B866CA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4" r:id="rId8" name="btnRapatriementJournal">
          <controlPr defaultSize="0" autoLine="0" r:id="rId9">
            <anchor moveWithCells="1">
              <from>
                <xdr:col>0</xdr:col>
                <xdr:colOff>107950</xdr:colOff>
                <xdr:row>0</xdr:row>
                <xdr:rowOff>88900</xdr:rowOff>
              </from>
              <to>
                <xdr:col>1</xdr:col>
                <xdr:colOff>393700</xdr:colOff>
                <xdr:row>0</xdr:row>
                <xdr:rowOff>552450</xdr:rowOff>
              </to>
            </anchor>
          </controlPr>
        </control>
      </mc:Choice>
      <mc:Fallback>
        <control shapeId="9224" r:id="rId8" name="btnRapatriementJournal"/>
      </mc:Fallback>
    </mc:AlternateContent>
    <mc:AlternateContent xmlns:mc="http://schemas.openxmlformats.org/markup-compatibility/2006">
      <mc:Choice Requires="x14">
        <control shapeId="9220" r:id="rId10" name="btnAjoutSeqJournal">
          <controlPr defaultSize="0" autoLine="0" r:id="rId11">
            <anchor moveWithCells="1">
              <from>
                <xdr:col>2</xdr:col>
                <xdr:colOff>88900</xdr:colOff>
                <xdr:row>0</xdr:row>
                <xdr:rowOff>88900</xdr:rowOff>
              </from>
              <to>
                <xdr:col>3</xdr:col>
                <xdr:colOff>889000</xdr:colOff>
                <xdr:row>0</xdr:row>
                <xdr:rowOff>565150</xdr:rowOff>
              </to>
            </anchor>
          </controlPr>
        </control>
      </mc:Choice>
      <mc:Fallback>
        <control shapeId="9220" r:id="rId10"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2.5" x14ac:dyDescent="0.25"/>
  <cols>
    <col min="1" max="60" width="1.1796875" customWidth="1"/>
    <col min="61" max="61" width="2.726562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67"/>
      <c r="B10" s="167"/>
      <c r="C10" s="167"/>
      <c r="D10" s="167"/>
      <c r="E10" s="167"/>
      <c r="F10" s="167"/>
      <c r="G10" s="167"/>
      <c r="H10" s="167"/>
      <c r="I10" s="167"/>
      <c r="J10" s="167"/>
      <c r="K10" s="167"/>
      <c r="L10" s="167"/>
      <c r="M10" s="167"/>
      <c r="N10" s="167"/>
      <c r="O10" s="167"/>
      <c r="P10" s="167"/>
      <c r="Q10" s="167"/>
      <c r="R10" s="167"/>
      <c r="S10" s="167"/>
      <c r="T10" s="167"/>
      <c r="U10" s="167"/>
      <c r="V10" s="167"/>
      <c r="W10" s="167"/>
      <c r="X10" s="167"/>
      <c r="Y10" s="167"/>
      <c r="Z10" s="167"/>
      <c r="AA10" s="167"/>
      <c r="AB10" s="167"/>
      <c r="AC10" s="167"/>
      <c r="AD10" s="167"/>
      <c r="AE10" s="167"/>
      <c r="AF10" s="167"/>
      <c r="AG10" s="167"/>
      <c r="AH10" s="167"/>
      <c r="AI10" s="167"/>
      <c r="AJ10" s="167"/>
      <c r="AK10" s="167"/>
      <c r="AL10" s="167"/>
      <c r="AM10" s="167"/>
      <c r="AN10" s="167"/>
      <c r="AO10" s="167"/>
      <c r="AP10" s="167"/>
      <c r="AQ10" s="167"/>
      <c r="AR10" s="167"/>
      <c r="AS10" s="167"/>
      <c r="AT10" s="167"/>
      <c r="AU10" s="167"/>
      <c r="AV10" s="167"/>
      <c r="AW10" s="167"/>
      <c r="AX10" s="167"/>
      <c r="AY10" s="167"/>
      <c r="AZ10" s="167"/>
      <c r="BA10" s="167"/>
      <c r="BB10" s="167"/>
      <c r="BC10" s="167"/>
      <c r="BD10" s="167"/>
      <c r="BE10" s="167"/>
      <c r="BF10" s="167"/>
      <c r="BG10" s="167"/>
      <c r="BH10" s="167"/>
      <c r="BI10" s="75"/>
    </row>
    <row r="11" spans="1:61" ht="17.5" x14ac:dyDescent="0.35">
      <c r="A11" s="168"/>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75"/>
    </row>
    <row r="12" spans="1:61" ht="18.5" thickBot="1" x14ac:dyDescent="0.4">
      <c r="A12" s="169"/>
      <c r="B12" s="169"/>
      <c r="C12" s="169"/>
      <c r="D12" s="169"/>
      <c r="E12" s="169"/>
      <c r="F12" s="169"/>
      <c r="G12" s="169"/>
      <c r="H12" s="169"/>
      <c r="I12" s="169"/>
      <c r="J12" s="169"/>
      <c r="K12" s="169"/>
      <c r="L12" s="169"/>
      <c r="M12" s="169"/>
      <c r="N12" s="169"/>
      <c r="O12" s="169"/>
      <c r="P12" s="169"/>
      <c r="Q12" s="169"/>
      <c r="R12" s="169"/>
      <c r="S12" s="169"/>
      <c r="T12" s="169"/>
      <c r="U12" s="169"/>
      <c r="V12" s="169"/>
      <c r="W12" s="169"/>
      <c r="X12" s="169"/>
      <c r="Y12" s="169"/>
      <c r="Z12" s="169"/>
      <c r="AA12" s="169"/>
      <c r="AB12" s="169"/>
      <c r="AC12" s="169"/>
      <c r="AD12" s="169"/>
      <c r="AE12" s="169"/>
      <c r="AF12" s="169"/>
      <c r="AG12" s="169"/>
      <c r="AH12" s="169"/>
      <c r="AI12" s="169"/>
      <c r="AJ12" s="169"/>
      <c r="AK12" s="169"/>
      <c r="AL12" s="169"/>
      <c r="AM12" s="169"/>
      <c r="AN12" s="169"/>
      <c r="AO12" s="169"/>
      <c r="AP12" s="169"/>
      <c r="AQ12" s="169"/>
      <c r="AR12" s="169"/>
      <c r="AS12" s="169"/>
      <c r="AT12" s="169"/>
      <c r="AU12" s="169"/>
      <c r="AV12" s="169"/>
      <c r="AW12" s="169"/>
      <c r="AX12" s="169"/>
      <c r="AY12" s="169"/>
      <c r="AZ12" s="169"/>
      <c r="BA12" s="169"/>
      <c r="BB12" s="169"/>
      <c r="BC12" s="169"/>
      <c r="BD12" s="169"/>
      <c r="BE12" s="169"/>
      <c r="BF12" s="169"/>
      <c r="BG12" s="169"/>
      <c r="BH12" s="169"/>
      <c r="BI12" s="75"/>
    </row>
    <row r="13" spans="1:61" ht="18" thickBot="1" x14ac:dyDescent="0.3">
      <c r="A13" s="151" t="s">
        <v>11</v>
      </c>
      <c r="B13" s="152"/>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c r="BE13" s="152"/>
      <c r="BF13" s="152"/>
      <c r="BG13" s="152"/>
      <c r="BH13" s="153"/>
      <c r="BI13" s="75"/>
    </row>
    <row r="14" spans="1:61" ht="15.5" thickBot="1" x14ac:dyDescent="0.35">
      <c r="A14" s="87"/>
      <c r="B14" s="88"/>
      <c r="C14" s="88"/>
      <c r="D14" s="88"/>
      <c r="E14" s="154" t="s">
        <v>31</v>
      </c>
      <c r="F14" s="154"/>
      <c r="G14" s="154"/>
      <c r="H14" s="154"/>
      <c r="I14" s="88"/>
      <c r="J14" s="88"/>
      <c r="K14" s="155" t="s">
        <v>21</v>
      </c>
      <c r="L14" s="155"/>
      <c r="M14" s="155"/>
      <c r="N14" s="155"/>
      <c r="O14" s="112"/>
      <c r="P14" s="112"/>
      <c r="Q14" s="154" t="s">
        <v>32</v>
      </c>
      <c r="R14" s="154"/>
      <c r="S14" s="154"/>
      <c r="T14" s="154"/>
      <c r="U14" s="88"/>
      <c r="V14" s="88"/>
      <c r="W14" s="155" t="s">
        <v>22</v>
      </c>
      <c r="X14" s="155"/>
      <c r="Y14" s="155"/>
      <c r="Z14" s="155"/>
      <c r="AA14" s="112"/>
      <c r="AB14" s="112"/>
      <c r="AC14" s="154" t="s">
        <v>33</v>
      </c>
      <c r="AD14" s="154"/>
      <c r="AE14" s="154"/>
      <c r="AF14" s="154"/>
      <c r="AG14" s="88"/>
      <c r="AH14" s="88"/>
      <c r="AI14" s="155" t="s">
        <v>23</v>
      </c>
      <c r="AJ14" s="155"/>
      <c r="AK14" s="155"/>
      <c r="AL14" s="155"/>
      <c r="AM14" s="112"/>
      <c r="AN14" s="112"/>
      <c r="AO14" s="154" t="s">
        <v>34</v>
      </c>
      <c r="AP14" s="154"/>
      <c r="AQ14" s="154"/>
      <c r="AR14" s="154"/>
      <c r="AS14" s="88"/>
      <c r="AT14" s="88"/>
      <c r="AU14" s="155" t="s">
        <v>24</v>
      </c>
      <c r="AV14" s="155"/>
      <c r="AW14" s="155"/>
      <c r="AX14" s="155"/>
      <c r="AY14" s="112"/>
      <c r="AZ14" s="112"/>
      <c r="BA14" s="154" t="s">
        <v>35</v>
      </c>
      <c r="BB14" s="154"/>
      <c r="BC14" s="154"/>
      <c r="BD14" s="154"/>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3"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3"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3"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66" t="s">
        <v>11</v>
      </c>
      <c r="B1" s="147">
        <v>1</v>
      </c>
      <c r="C1" s="147"/>
      <c r="D1" s="67" t="s">
        <v>14</v>
      </c>
      <c r="E1" s="79"/>
      <c r="F1" s="110"/>
      <c r="G1" s="39"/>
    </row>
    <row r="2" spans="1:7" s="40" customFormat="1" ht="30" customHeight="1" thickBot="1" x14ac:dyDescent="0.3">
      <c r="A2" s="65" t="s">
        <v>4</v>
      </c>
      <c r="B2" s="134" t="s">
        <v>37</v>
      </c>
      <c r="C2" s="135"/>
      <c r="D2" s="65" t="s">
        <v>12</v>
      </c>
      <c r="E2" s="197" t="s">
        <v>13</v>
      </c>
      <c r="F2" s="198"/>
      <c r="G2" s="39"/>
    </row>
    <row r="3" spans="1:7" s="44" customFormat="1" ht="12.5" x14ac:dyDescent="0.25">
      <c r="A3" s="41"/>
      <c r="B3" s="42"/>
      <c r="C3" s="136" t="str">
        <f xml:space="preserve"> IF(B3="","",setValueToTime(B3))</f>
        <v/>
      </c>
      <c r="D3" s="43"/>
      <c r="E3" s="191"/>
      <c r="F3" s="192"/>
      <c r="G3" s="3"/>
    </row>
    <row r="4" spans="1:7" s="44" customFormat="1" ht="12.5" x14ac:dyDescent="0.25">
      <c r="A4" s="45"/>
      <c r="B4" s="46"/>
      <c r="C4" s="137" t="str">
        <f t="shared" ref="C4:C10" si="0" xml:space="preserve"> IF(B4="","",setValueToTime(B4))</f>
        <v/>
      </c>
      <c r="D4" s="47"/>
      <c r="E4" s="183"/>
      <c r="F4" s="184"/>
      <c r="G4" s="3"/>
    </row>
    <row r="5" spans="1:7" s="44" customFormat="1" ht="12.5" x14ac:dyDescent="0.25">
      <c r="A5" s="45"/>
      <c r="B5" s="46"/>
      <c r="C5" s="137" t="str">
        <f t="shared" si="0"/>
        <v/>
      </c>
      <c r="D5" s="47"/>
      <c r="E5" s="183"/>
      <c r="F5" s="184"/>
      <c r="G5" s="3"/>
    </row>
    <row r="6" spans="1:7" s="44" customFormat="1" ht="12.5" x14ac:dyDescent="0.25">
      <c r="A6" s="45"/>
      <c r="B6" s="46"/>
      <c r="C6" s="137" t="str">
        <f t="shared" si="0"/>
        <v/>
      </c>
      <c r="D6" s="47"/>
      <c r="E6" s="183"/>
      <c r="F6" s="184"/>
      <c r="G6" s="3"/>
    </row>
    <row r="7" spans="1:7" s="44" customFormat="1" ht="12.5" x14ac:dyDescent="0.25">
      <c r="A7" s="46"/>
      <c r="B7" s="46"/>
      <c r="C7" s="138"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3" thickBot="1" x14ac:dyDescent="0.3">
      <c r="A10" s="48"/>
      <c r="B10" s="48"/>
      <c r="C10" s="139" t="str">
        <f t="shared" si="0"/>
        <v/>
      </c>
      <c r="D10" s="49"/>
      <c r="E10" s="185"/>
      <c r="F10" s="186"/>
      <c r="G10" s="3"/>
    </row>
    <row r="11" spans="1:7" s="44" customFormat="1" ht="13" thickBot="1" x14ac:dyDescent="0.3">
      <c r="A11" s="95" t="s">
        <v>26</v>
      </c>
      <c r="B11" s="69">
        <f>SUM(B3:B10)</f>
        <v>0</v>
      </c>
      <c r="C11" s="95" t="str">
        <f xml:space="preserve"> setValueToTime(B11)</f>
        <v>0h</v>
      </c>
      <c r="D11" s="104"/>
      <c r="E11" s="195"/>
      <c r="F11" s="196"/>
      <c r="G11" s="3"/>
    </row>
    <row r="12" spans="1:7" s="44" customFormat="1" x14ac:dyDescent="0.25">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53125" defaultRowHeight="11.5" x14ac:dyDescent="0.25"/>
  <cols>
    <col min="1" max="1" width="24.7265625" style="50" customWidth="1"/>
    <col min="2" max="2" width="8.453125" style="50" customWidth="1"/>
    <col min="3" max="3" width="9.1796875" style="50" customWidth="1"/>
    <col min="4" max="4" width="87" style="50" customWidth="1"/>
    <col min="5" max="5" width="34.1796875" style="50" customWidth="1"/>
    <col min="6" max="6" width="23.54296875" style="50" customWidth="1"/>
    <col min="7" max="7" width="11.453125" style="3"/>
    <col min="8" max="16384" width="11.453125" style="51"/>
  </cols>
  <sheetData>
    <row r="1" spans="1:7" s="40" customFormat="1" ht="30" customHeight="1" thickBot="1" x14ac:dyDescent="0.3">
      <c r="A1" s="140" t="s">
        <v>11</v>
      </c>
      <c r="B1" s="148">
        <v>1</v>
      </c>
      <c r="C1" s="148"/>
      <c r="D1" s="141" t="s">
        <v>14</v>
      </c>
      <c r="E1" s="142"/>
      <c r="F1" s="143"/>
      <c r="G1" s="39"/>
    </row>
    <row r="2" spans="1:7" s="40" customFormat="1" ht="30" customHeight="1" thickBot="1" x14ac:dyDescent="0.3">
      <c r="A2" s="63" t="s">
        <v>4</v>
      </c>
      <c r="B2" s="145" t="s">
        <v>37</v>
      </c>
      <c r="C2" s="144"/>
      <c r="D2" s="63" t="s">
        <v>12</v>
      </c>
      <c r="E2" s="189" t="s">
        <v>13</v>
      </c>
      <c r="F2" s="190"/>
      <c r="G2" s="39"/>
    </row>
    <row r="3" spans="1:7" s="44" customFormat="1" ht="12.5" x14ac:dyDescent="0.25">
      <c r="A3" s="41"/>
      <c r="B3" s="42"/>
      <c r="C3" s="136" t="str">
        <f xml:space="preserve"> IF(B3="","",setValueToTime(B3))</f>
        <v/>
      </c>
      <c r="D3" s="43"/>
      <c r="E3" s="191"/>
      <c r="F3" s="192"/>
      <c r="G3" s="3"/>
    </row>
    <row r="4" spans="1:7" s="44" customFormat="1" ht="12.5" x14ac:dyDescent="0.25">
      <c r="A4" s="45"/>
      <c r="B4" s="46"/>
      <c r="C4" s="137" t="str">
        <f t="shared" ref="C4:C10" si="0" xml:space="preserve"> IF(B4="","",setValueToTime(B4))</f>
        <v/>
      </c>
      <c r="D4" s="47"/>
      <c r="E4" s="183"/>
      <c r="F4" s="184"/>
      <c r="G4" s="3"/>
    </row>
    <row r="5" spans="1:7" s="44" customFormat="1" ht="12.5" x14ac:dyDescent="0.25">
      <c r="A5" s="45"/>
      <c r="B5" s="46"/>
      <c r="C5" s="137" t="str">
        <f t="shared" si="0"/>
        <v/>
      </c>
      <c r="D5" s="47"/>
      <c r="E5" s="183"/>
      <c r="F5" s="184"/>
      <c r="G5" s="3"/>
    </row>
    <row r="6" spans="1:7" s="44" customFormat="1" ht="12.5" x14ac:dyDescent="0.25">
      <c r="A6" s="45"/>
      <c r="B6" s="46"/>
      <c r="C6" s="137" t="str">
        <f t="shared" si="0"/>
        <v/>
      </c>
      <c r="D6" s="47"/>
      <c r="E6" s="183"/>
      <c r="F6" s="184"/>
      <c r="G6" s="3"/>
    </row>
    <row r="7" spans="1:7" s="44" customFormat="1" ht="12.5" x14ac:dyDescent="0.25">
      <c r="A7" s="46"/>
      <c r="B7" s="46"/>
      <c r="C7" s="138" t="str">
        <f t="shared" si="0"/>
        <v/>
      </c>
      <c r="D7" s="47"/>
      <c r="E7" s="183"/>
      <c r="F7" s="184"/>
      <c r="G7" s="3"/>
    </row>
    <row r="8" spans="1:7" s="44" customFormat="1" ht="12.5" x14ac:dyDescent="0.25">
      <c r="A8" s="46"/>
      <c r="B8" s="46"/>
      <c r="C8" s="138" t="str">
        <f t="shared" si="0"/>
        <v/>
      </c>
      <c r="D8" s="47"/>
      <c r="E8" s="183"/>
      <c r="F8" s="184"/>
      <c r="G8" s="3"/>
    </row>
    <row r="9" spans="1:7" s="44" customFormat="1" ht="12.5" x14ac:dyDescent="0.25">
      <c r="A9" s="46"/>
      <c r="B9" s="46"/>
      <c r="C9" s="138" t="str">
        <f t="shared" si="0"/>
        <v/>
      </c>
      <c r="D9" s="47"/>
      <c r="E9" s="183"/>
      <c r="F9" s="184"/>
      <c r="G9" s="3"/>
    </row>
    <row r="10" spans="1:7" s="44" customFormat="1" ht="13" thickBot="1" x14ac:dyDescent="0.3">
      <c r="A10" s="48"/>
      <c r="B10" s="48"/>
      <c r="C10" s="139" t="str">
        <f t="shared" si="0"/>
        <v/>
      </c>
      <c r="D10" s="49"/>
      <c r="E10" s="185"/>
      <c r="F10" s="186"/>
      <c r="G10" s="3"/>
    </row>
    <row r="11" spans="1:7" s="44" customFormat="1" ht="13" thickBot="1" x14ac:dyDescent="0.3">
      <c r="A11" s="146" t="s">
        <v>26</v>
      </c>
      <c r="B11" s="68">
        <f>SUM(B3:B10)</f>
        <v>0</v>
      </c>
      <c r="C11" s="146" t="str">
        <f xml:space="preserve"> setValueToTime(B11)</f>
        <v>0h</v>
      </c>
      <c r="D11" s="105"/>
      <c r="E11" s="187"/>
      <c r="F11" s="188"/>
      <c r="G11" s="3"/>
    </row>
    <row r="12" spans="1:7" s="44" customFormat="1" x14ac:dyDescent="0.25">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7" ma:contentTypeDescription="Crée un document." ma:contentTypeScope="" ma:versionID="cba5efccc0d480cb735b1e3a6fa36ec6">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182a9dbb880c63aad21a52912db8849"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7A64759D-61CA-4D31-8F71-6F942F245F8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metadata/properties"/>
    <ds:schemaRef ds:uri="http://schemas.microsoft.com/office/infopath/2007/PartnerControls"/>
    <ds:schemaRef ds:uri="dfa80de1-e9bb-4cf2-893d-d06220b3971a"/>
    <ds:schemaRef ds:uri="98d92101-24da-4498-9971-a24673344bd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Alessio Lopardo</dc:creator>
  <cp:lastModifiedBy>Alessio Lopardo</cp:lastModifiedBy>
  <cp:lastPrinted>2019-05-08T10:31:53Z</cp:lastPrinted>
  <dcterms:created xsi:type="dcterms:W3CDTF">1996-10-21T11:03:58Z</dcterms:created>
  <dcterms:modified xsi:type="dcterms:W3CDTF">2024-05-25T09:05:11Z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