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2AFF331A-500F-45B4-B308-273F51EB25AD}" xr6:coauthVersionLast="47" xr6:coauthVersionMax="47" xr10:uidLastSave="{00000000-0000-0000-0000-000000000000}"/>
  <bookViews>
    <workbookView xWindow="-110" yWindow="-110" windowWidth="25820" windowHeight="139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C18" i="12"/>
  <c r="B36" i="12"/>
  <c r="C35" i="12"/>
  <c r="C34" i="12"/>
  <c r="C33" i="12"/>
  <c r="C32" i="12"/>
  <c r="C31" i="12"/>
  <c r="C30" i="12"/>
  <c r="B48" i="12"/>
  <c r="C47" i="12"/>
  <c r="C46" i="12"/>
  <c r="C45" i="12"/>
  <c r="C44" i="12"/>
  <c r="C43" i="12"/>
  <c r="B60" i="12"/>
  <c r="C59" i="12"/>
  <c r="B72" i="12"/>
  <c r="B84" i="12"/>
  <c r="C83" i="12"/>
  <c r="C82" i="12"/>
  <c r="C81" i="12"/>
  <c r="C80" i="12"/>
  <c r="B96" i="12"/>
  <c r="C95" i="12"/>
  <c r="C94" i="12"/>
  <c r="C93" i="12"/>
  <c r="B108" i="12"/>
  <c r="C107" i="12"/>
  <c r="C106" i="12"/>
  <c r="C105" i="12"/>
  <c r="C104" i="12"/>
  <c r="C103" i="12"/>
  <c r="B120" i="12"/>
  <c r="C119" i="12"/>
  <c r="C118" i="12"/>
  <c r="C117" i="12"/>
  <c r="C116" i="12"/>
  <c r="C10" i="15"/>
  <c r="C9" i="15"/>
  <c r="C8" i="15"/>
  <c r="C7" i="15"/>
  <c r="C6" i="15"/>
  <c r="C5" i="15"/>
  <c r="C4" i="15"/>
  <c r="C3" i="15"/>
  <c r="B11" i="15"/>
  <c r="C10" i="16"/>
  <c r="C9" i="16"/>
  <c r="C8" i="16"/>
  <c r="C7" i="16"/>
  <c r="C6" i="16"/>
  <c r="C5" i="16"/>
  <c r="C4" i="16"/>
  <c r="C3" i="16"/>
  <c r="B11" i="16"/>
  <c r="D24" i="1"/>
  <c r="D35" i="1"/>
  <c r="D82" i="1"/>
  <c r="D91" i="1"/>
  <c r="D63" i="1"/>
  <c r="D34" i="1"/>
  <c r="D26" i="1"/>
  <c r="D36" i="1"/>
  <c r="D55" i="1"/>
  <c r="D49" i="1"/>
  <c r="D66" i="1"/>
  <c r="D60" i="1"/>
  <c r="D84" i="1"/>
  <c r="D44" i="1"/>
  <c r="D72" i="1"/>
  <c r="D22" i="1"/>
  <c r="D38" i="1"/>
  <c r="D19" i="1"/>
  <c r="D17" i="1"/>
  <c r="D20" i="1"/>
  <c r="D62" i="1"/>
  <c r="C11" i="15"/>
  <c r="D73" i="1"/>
  <c r="D40" i="1"/>
  <c r="D69" i="1"/>
  <c r="C11" i="16"/>
  <c r="D21" i="1"/>
  <c r="D29" i="1"/>
  <c r="D54" i="1"/>
  <c r="D16" i="1"/>
  <c r="D71" i="1"/>
  <c r="D42" i="1"/>
  <c r="D75" i="1"/>
  <c r="D61" i="1"/>
  <c r="D65" i="1"/>
  <c r="D50" i="1"/>
  <c r="D23" i="1"/>
  <c r="D25" i="1"/>
  <c r="D92" i="1"/>
  <c r="D64" i="1"/>
  <c r="D87" i="1"/>
  <c r="D77" i="1"/>
  <c r="D56" i="1"/>
  <c r="D68" i="1"/>
  <c r="D48" i="1"/>
  <c r="D47" i="1"/>
  <c r="D52" i="1"/>
  <c r="D94" i="1"/>
  <c r="D59" i="1"/>
  <c r="D28" i="1"/>
  <c r="D67" i="1"/>
  <c r="D43" i="1"/>
  <c r="D93" i="1"/>
  <c r="D86" i="1"/>
  <c r="D32" i="1"/>
  <c r="D83" i="1"/>
  <c r="D37" i="1"/>
  <c r="D39" i="1"/>
  <c r="D79" i="1"/>
  <c r="D27" i="1"/>
  <c r="D90" i="1"/>
  <c r="D70" i="1"/>
  <c r="D41" i="1"/>
  <c r="D31" i="1"/>
  <c r="D74" i="1"/>
  <c r="D30" i="1"/>
  <c r="D51" i="1"/>
  <c r="D76" i="1"/>
  <c r="D57" i="1"/>
  <c r="D53" i="1"/>
  <c r="D80" i="1"/>
  <c r="D88" i="1"/>
  <c r="D78" i="1"/>
  <c r="D45" i="1"/>
  <c r="D89" i="1"/>
  <c r="D58" i="1"/>
  <c r="D33" i="1"/>
  <c r="D81" i="1"/>
  <c r="D18" i="1"/>
  <c r="D85" i="1"/>
  <c r="D15" i="1"/>
  <c r="D46" i="1"/>
  <c r="C4" i="12"/>
  <c r="C12" i="12"/>
  <c r="C17" i="12"/>
  <c r="C16" i="12"/>
  <c r="C24" i="12"/>
  <c r="C29" i="12"/>
  <c r="C28" i="12"/>
  <c r="C84" i="12"/>
  <c r="C69" i="12"/>
  <c r="C53" i="12"/>
  <c r="C120" i="12"/>
  <c r="C76" i="12"/>
  <c r="C36" i="12"/>
  <c r="C96" i="12"/>
  <c r="C42" i="12"/>
  <c r="C71" i="12"/>
  <c r="C115" i="12"/>
  <c r="C57" i="12"/>
  <c r="C114" i="12"/>
  <c r="C108" i="12"/>
  <c r="C40" i="12"/>
  <c r="C79" i="12"/>
  <c r="C91" i="12"/>
  <c r="C56" i="12"/>
  <c r="C90" i="12"/>
  <c r="C77" i="12"/>
  <c r="C65" i="12"/>
  <c r="C52" i="12"/>
  <c r="C70" i="12"/>
  <c r="C68" i="12"/>
  <c r="C67" i="12"/>
  <c r="C60" i="12"/>
  <c r="C58" i="12"/>
  <c r="C92" i="12"/>
  <c r="C101" i="12"/>
  <c r="C112" i="12"/>
  <c r="C102" i="12"/>
  <c r="C48" i="12"/>
  <c r="C88" i="12"/>
  <c r="C64" i="12"/>
  <c r="C113" i="12"/>
  <c r="C66" i="12"/>
  <c r="C89" i="12"/>
  <c r="C72" i="12"/>
  <c r="C41" i="12"/>
  <c r="C54" i="12"/>
  <c r="C100" i="12"/>
  <c r="C55" i="12"/>
  <c r="C7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<sst xmlns="http://schemas.openxmlformats.org/spreadsheetml/2006/main" count="316" uniqueCount="127">
  <si>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</si>
  <si>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</si>
  <si>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</si>
  <si>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</si>
  <si>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</si>
  <si>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</si>
  <si>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</si>
  <si>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</si>
  <si>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</si>
  <si>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</si>
  <si>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</si>
  <si>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</si>
  <si>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</si>
  <si>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</si>
  <si>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</si>
  <si>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</si>
  <si>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</si>
  <si>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</si>
  <si>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</si>
  <si>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</si>
  <si>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</si>
  <si>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</si>
  <si>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</si>
  <si>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</si>
  <si>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</si>
  <si>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</si>
  <si>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</si>
  <si>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</si>
  <si>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</si>
  <si>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</si>
  <si>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</si>
  <si>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</si>
  <si>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</si>
  <si>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</si>
  <si>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</si>
  <si>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</si>
  <si>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</si>
  <si>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</si>
  <si>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</si>
  <si>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</si>
  <si>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</si>
  <si>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</si>
  <si>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</si>
  <si>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</si>
  <si>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</si>
  <si>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</si>
  <si>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</si>
  <si>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</si>
  <si>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</si>
  <si>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</si>
  <si>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</si>
  <si>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</si>
  <si>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</si>
  <si>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</si>
  <si>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</si>
  <si>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</si>
  <si>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</si>
  <si>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</si>
  <si>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</si>
  <si>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</si>
  <si>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</si>
  <si>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</si>
  <si>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</si>
  <si>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</si>
  <si>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</si>
  <si>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</si>
  <si>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</si>
  <si>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</si>
  <si>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</si>
  <si>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</si>
  <si>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</si>
  <si>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</si>
  <si>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</si>
  <si>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</si>
  <si>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</si>
  <si>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</si>
  <si>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</si>
  <si>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</si>
  <si>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</si>
  <si>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</si>
  <si>
    <t>Authentification avec le JWT (ne fonctionne pas sur les routes)</t>
  </si>
  <si>
    <t>Absent 1ère période</t>
  </si>
  <si>
    <t>-</t>
  </si>
  <si>
    <t>Correction bug docker</t>
  </si>
  <si>
    <t>Impossible de lancer le docker compose. Le nom du projet dans le fichier .env était en majuscule. Je l'ai changé avec des caractère minuscules</t>
  </si>
  <si>
    <t>Correction bug dans la routes login</t>
  </si>
  <si>
    <t>Container nodejs ne se connecte pas à la base de données</t>
  </si>
  <si>
    <t>Le container node js ne se connectais pas au container db car les information de connexion dans le code était incorrecte, j'ai modifier le host par l'ip du container db et le port par celui par defaut qui est le 3306</t>
  </si>
  <si>
    <t>Création du rapport</t>
  </si>
  <si>
    <t>Mise en page du rapport avec les points à aborder</t>
  </si>
  <si>
    <t>Documentation de la dockerisation des service</t>
  </si>
  <si>
    <t>Documenation de la dockerisation de la base de données et nodejs. Documentation de la connexion à la base de données entre le container nodejs et le container mysql</t>
  </si>
  <si>
    <t>Documentation https</t>
  </si>
  <si>
    <t>Explication de comment j'ai intégré le certificat SSL à on app avec les différentes commandes que j'ai utiliser pour OpenSSL, documentation de mon code</t>
  </si>
  <si>
    <t>Ajout de commentaire et amélioration mon code avec chatGPT</t>
  </si>
  <si>
    <t>J'ai demander à chat GPT de commenter mon code car je n'ai pas toujours les bon temes pour définir ce que fait mon app. J'ai consulter ses réponse et je me suis assurer de comprendre ses commentaire. De plus il ma fournie des pistes d'amélioration de mon code surtout pour la routes de login avec les requêtes paramétré pour la protection contre les injections SQL, j'ai consulter son code et je lui ai demander de m'expliquer en détails comment cela fonctionnais, je me suis assuré de comprendre et d'avoir la capacité de le refaire avant de l'intégré à mon code.</t>
  </si>
  <si>
    <t>Tentative de correction du bug lorsque l'utilisateur n'entre pas un username valide. Je vais devoir créer une classe user et importer directement les données dans celle-ci.</t>
  </si>
  <si>
    <t>Résolution problème avec le req.header qui étais Undefined</t>
  </si>
  <si>
    <t>Le req.headers était undefined quand j'essayais d'intégrer à mon application la fonctionnalité de contrôler les rôle, car quand je vérifiais le token dans ma fonction auth je donnais pas les informations du decodedToken au req.user, donc cela cassait le req.headers</t>
  </si>
  <si>
    <t>Fonctionnalité requireRole</t>
  </si>
  <si>
    <t>Après avoir résolu le problème du req.headers mon req.user fonctionnait et me renvoyais le rôle, j'ai donc déplacer ma fonction requireRole dans mon fichier User car sinon j'avais la même erreur du req.headers</t>
  </si>
  <si>
    <t>Routes pour voir les informations de chaque utilisateur</t>
  </si>
  <si>
    <t>J'ai créer une route qui va récupérer un user selon le user.id qui est dans le req.user lorsque je donne un token.  Cela me permet de créer une route "personnel" pour chaque utilisateur, selon le token que je donne, il va me sortir les information de l'utilisateur.</t>
  </si>
  <si>
    <t>Documentation Administration</t>
  </si>
  <si>
    <t>Documentatioin Injection SQL</t>
  </si>
  <si>
    <t>Documentation Profil client</t>
  </si>
  <si>
    <t>Ajout de la partie administration dans le rapport. Modification de mon code et explication</t>
  </si>
  <si>
    <t>Ajout de la protection contre les injections SQL (requêtes préparées) dans le rapport. Expllication de mon code</t>
  </si>
  <si>
    <t>Ajout du profile client dans le rapport, explication de mon code et de la route</t>
  </si>
  <si>
    <t>Documentation authentificatioin</t>
  </si>
  <si>
    <t>J'ai documenter la partie de comparaison de hash avec crypto. Je dois encore finir la documentation de l'authentification.</t>
  </si>
  <si>
    <t>Finir partie Authentification mot de passe dans le rapport</t>
  </si>
  <si>
    <t>Description de la route login dans le rapport</t>
  </si>
  <si>
    <t>Ajout du frfontEnd page de connexion</t>
  </si>
  <si>
    <t>Connexion entre le frontEnd et le backend</t>
  </si>
  <si>
    <t>npx create-vue pour créer le frontend, j'ai nettoyer le projet et installer axios</t>
  </si>
  <si>
    <t>J'ai installer cors et je l'ai configurer a l'aide de chatgpt pour pouvoir utiliser e backend</t>
  </si>
  <si>
    <t>Dockerisation du FrontEnd</t>
  </si>
  <si>
    <t>J'ai repris les différent dockerfile que j'avais déjà qui me permettais de créer le container nodejs et je les ai adapté pour créer le container de vuejs. Avec l'aide de chatGPT j'ai réglé le problème de ports car depuis ma machine hote je ne pouvais pas écouter le localhost du container, j'ai donc modifier dans le fichier "viteconfig" la possibilité d'écouter toutes les ips en spécifiant "host: 0.0.0.0", de plus je me suis assurer de bien écouter sur le port 5173. Je n'ai pas voulu le modifier car j'avais déjà configuré mon backend pour qu'il écoute les requêtes venant de ce ports</t>
  </si>
  <si>
    <t>Ajout gitignore pour le dossier node_modules</t>
  </si>
  <si>
    <t>J'ai ajouter un fichier ".gitignore" à la racine de mon repo git pour qu'il ignore les dossier node_modules lorsque je push mon repo sur github.</t>
  </si>
  <si>
    <t>Présentation</t>
  </si>
  <si>
    <t>Présentation du tous les projet de la classe</t>
  </si>
  <si>
    <t>Problème communication frontend et backend</t>
  </si>
  <si>
    <t>Le problème est que sur mon pc portable, les requêtes fonctionnes entre mon backend en https et mon frontend, cependant lorsque je clone le repo sur un autre ordinateur et que je lance le projet, mon certificat pose problème et les requete entre le front et le back ne passe pas</t>
  </si>
  <si>
    <t>Documentation du problème de communication dans le rapport</t>
  </si>
  <si>
    <t>Doccumentatioin du problème de communication du au certificat dans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</si>
</sst>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1"/>
              <c:pt idx="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
              <c:pt idx="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488950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914400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28"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81" t="s">
        <v>28</v>
      </c>
      <c r="D1" s="181"/>
      <c r="E1" s="18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82"/>
      <c r="D7" s="182"/>
      <c r="E7" s="18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73" t="str">
        <f>E96</f>
        <v>0h</v>
      </c>
      <c r="H9" s="173"/>
      <c r="I9" s="173"/>
      <c r="J9" s="173"/>
      <c r="K9" s="173"/>
      <c r="L9" s="173"/>
      <c r="M9" s="173"/>
      <c r="N9" s="173"/>
      <c r="O9" s="173"/>
      <c r="P9" s="173"/>
      <c r="Q9" s="173"/>
      <c r="R9" s="173"/>
      <c r="S9" s="173"/>
      <c r="T9" s="173"/>
      <c r="U9" s="173"/>
      <c r="V9" s="103"/>
      <c r="W9" s="172" t="s">
        <v>20</v>
      </c>
      <c r="X9" s="172"/>
      <c r="Y9" s="172"/>
      <c r="Z9" s="172"/>
      <c r="AA9" s="172"/>
      <c r="AB9" s="172"/>
      <c r="AC9" s="172"/>
      <c r="AD9" s="172"/>
      <c r="AE9" s="172"/>
      <c r="AF9" s="172"/>
      <c r="AG9" s="172"/>
      <c r="AH9" s="173" t="str">
        <f>E98</f>
        <v>0h</v>
      </c>
      <c r="AI9" s="173"/>
      <c r="AJ9" s="173"/>
      <c r="AK9" s="173"/>
      <c r="AL9" s="173"/>
      <c r="AM9" s="173"/>
      <c r="AN9" s="173"/>
      <c r="AO9" s="173"/>
      <c r="AP9" s="173"/>
      <c r="AQ9" s="173"/>
      <c r="AR9" s="173"/>
      <c r="AS9" s="173"/>
      <c r="AT9" s="173"/>
      <c r="AU9" s="173"/>
      <c r="AV9" s="173"/>
      <c r="AW9" s="17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67"/>
      <c r="CS10" s="167"/>
      <c r="CT10" s="167"/>
      <c r="CU10" s="167"/>
      <c r="CV10" s="167"/>
      <c r="CW10" s="167"/>
      <c r="CX10" s="167"/>
      <c r="CY10" s="167"/>
      <c r="CZ10" s="167"/>
      <c r="DA10" s="167"/>
      <c r="DB10" s="167"/>
      <c r="DC10" s="167"/>
      <c r="DD10" s="167"/>
      <c r="DE10" s="167"/>
      <c r="DF10" s="167"/>
      <c r="DG10" s="167"/>
      <c r="DH10" s="167"/>
      <c r="DI10" s="167"/>
      <c r="DJ10" s="167"/>
      <c r="DK10" s="167"/>
      <c r="DL10" s="167"/>
      <c r="DM10" s="167"/>
      <c r="DN10" s="167"/>
      <c r="DO10" s="167"/>
      <c r="DP10" s="167"/>
      <c r="DQ10" s="167"/>
      <c r="DR10" s="167"/>
      <c r="DS10" s="167"/>
      <c r="DT10" s="167"/>
      <c r="DU10" s="167"/>
      <c r="DV10" s="167"/>
      <c r="DW10" s="167"/>
      <c r="DX10" s="167"/>
      <c r="DY10" s="167"/>
      <c r="DZ10" s="167"/>
      <c r="EA10" s="167"/>
      <c r="EB10" s="167"/>
      <c r="EC10" s="167"/>
      <c r="ED10" s="167"/>
      <c r="EE10" s="167"/>
      <c r="EF10" s="167"/>
      <c r="EG10" s="167"/>
      <c r="EH10" s="167"/>
      <c r="EI10" s="167"/>
      <c r="EJ10" s="167"/>
      <c r="EK10" s="167"/>
      <c r="EL10" s="167"/>
      <c r="EM10" s="167"/>
      <c r="EN10" s="167"/>
      <c r="EO10" s="167"/>
      <c r="EP10" s="167"/>
      <c r="EQ10" s="167"/>
      <c r="ER10" s="167"/>
      <c r="ES10" s="167"/>
      <c r="ET10" s="167"/>
      <c r="EU10" s="167"/>
      <c r="EV10" s="167"/>
      <c r="EW10" s="167"/>
      <c r="EX10" s="167"/>
      <c r="EY10" s="167"/>
      <c r="EZ10" s="167"/>
      <c r="FA10" s="167"/>
      <c r="FB10" s="167"/>
      <c r="FC10" s="167"/>
      <c r="FD10" s="167"/>
      <c r="FE10" s="167"/>
      <c r="FF10" s="167"/>
      <c r="FG10" s="167"/>
      <c r="FH10" s="167"/>
      <c r="FI10" s="167"/>
      <c r="FJ10" s="167"/>
      <c r="FK10" s="167"/>
      <c r="FL10" s="167"/>
      <c r="FM10" s="167"/>
      <c r="FN10" s="167"/>
      <c r="FO10" s="167"/>
      <c r="FP10" s="167"/>
      <c r="FQ10" s="167"/>
      <c r="FR10" s="167"/>
      <c r="FS10" s="167"/>
      <c r="FT10" s="167"/>
      <c r="FU10" s="167"/>
      <c r="FV10" s="167"/>
      <c r="FW10" s="167"/>
      <c r="FX10" s="167"/>
      <c r="FY10" s="167"/>
      <c r="FZ10" s="167"/>
      <c r="GA10" s="167"/>
      <c r="GB10" s="167"/>
      <c r="GC10" s="167"/>
      <c r="GD10" s="75"/>
    </row>
    <row r="11" spans="1:186" ht="20.149999999999999" customHeight="1" x14ac:dyDescent="0.35">
      <c r="B11" s="53"/>
      <c r="C11" s="179"/>
      <c r="D11" s="179"/>
      <c r="E11" s="179"/>
      <c r="F11" s="171" t="s">
        <v>39</v>
      </c>
      <c r="G11" s="171"/>
      <c r="H11" s="171"/>
      <c r="I11" s="171"/>
      <c r="J11" s="171"/>
      <c r="K11" s="171"/>
      <c r="L11" s="171"/>
      <c r="M11" s="171"/>
      <c r="N11" s="171"/>
      <c r="O11" s="171"/>
      <c r="P11" s="171"/>
      <c r="Q11" s="171"/>
      <c r="R11" s="171"/>
      <c r="S11" s="171"/>
      <c r="T11" s="171"/>
      <c r="U11" s="171"/>
      <c r="V11" s="171"/>
      <c r="W11" s="171"/>
      <c r="X11" s="171"/>
      <c r="Y11" s="171"/>
      <c r="Z11" s="171"/>
      <c r="AA11" s="171"/>
      <c r="AB11" s="171"/>
      <c r="AC11" s="171"/>
      <c r="AD11" s="171"/>
      <c r="AE11" s="171"/>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171"/>
      <c r="BJ11" s="171"/>
      <c r="BK11" s="171"/>
      <c r="BL11" s="171"/>
      <c r="BM11" s="171"/>
      <c r="BN11" s="171" t="s">
        <v>39</v>
      </c>
      <c r="BO11" s="171"/>
      <c r="BP11" s="171"/>
      <c r="BQ11" s="171"/>
      <c r="BR11" s="171"/>
      <c r="BS11" s="171"/>
      <c r="BT11" s="171"/>
      <c r="BU11" s="171"/>
      <c r="BV11" s="171"/>
      <c r="BW11" s="171"/>
      <c r="BX11" s="171"/>
      <c r="BY11" s="171"/>
      <c r="BZ11" s="171"/>
      <c r="CA11" s="171"/>
      <c r="CB11" s="171"/>
      <c r="CC11" s="171"/>
      <c r="CD11" s="171"/>
      <c r="CE11" s="171"/>
      <c r="CF11" s="171"/>
      <c r="CG11" s="171"/>
      <c r="CH11" s="171"/>
      <c r="CI11" s="171"/>
      <c r="CJ11" s="171"/>
      <c r="CK11" s="171"/>
      <c r="CL11" s="171"/>
      <c r="CM11" s="171"/>
      <c r="CN11" s="171"/>
      <c r="CO11" s="171"/>
      <c r="CP11" s="171"/>
      <c r="CQ11" s="171"/>
      <c r="CR11" s="171"/>
      <c r="CS11" s="171"/>
      <c r="CT11" s="171"/>
      <c r="CU11" s="171"/>
      <c r="CV11" s="171"/>
      <c r="CW11" s="171"/>
      <c r="CX11" s="171"/>
      <c r="CY11" s="171"/>
      <c r="CZ11" s="171"/>
      <c r="DA11" s="171"/>
      <c r="DB11" s="171"/>
      <c r="DC11" s="171"/>
      <c r="DD11" s="171"/>
      <c r="DE11" s="171"/>
      <c r="DF11" s="171"/>
      <c r="DG11" s="171"/>
      <c r="DH11" s="171"/>
      <c r="DI11" s="171"/>
      <c r="DJ11" s="171"/>
      <c r="DK11" s="171"/>
      <c r="DL11" s="171"/>
      <c r="DM11" s="171"/>
      <c r="DN11" s="171"/>
      <c r="DO11" s="171"/>
      <c r="DP11" s="171"/>
      <c r="DQ11" s="171"/>
      <c r="DR11" s="171"/>
      <c r="DS11" s="171"/>
      <c r="DT11" s="171"/>
      <c r="DU11" s="171"/>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80"/>
      <c r="D12" s="180"/>
      <c r="E12" s="180"/>
      <c r="F12" s="170" t="s">
        <v>40</v>
      </c>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t="s">
        <v>40</v>
      </c>
      <c r="BO12" s="170"/>
      <c r="BP12" s="170"/>
      <c r="BQ12" s="170"/>
      <c r="BR12" s="170"/>
      <c r="BS12" s="170"/>
      <c r="BT12" s="170"/>
      <c r="BU12" s="170"/>
      <c r="BV12" s="170"/>
      <c r="BW12" s="170"/>
      <c r="BX12" s="170"/>
      <c r="BY12" s="170"/>
      <c r="BZ12" s="170"/>
      <c r="CA12" s="170"/>
      <c r="CB12" s="170"/>
      <c r="CC12" s="170"/>
      <c r="CD12" s="170"/>
      <c r="CE12" s="170"/>
      <c r="CF12" s="170"/>
      <c r="CG12" s="170"/>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c r="DQ12" s="170"/>
      <c r="DR12" s="170"/>
      <c r="DS12" s="170"/>
      <c r="DT12" s="170"/>
      <c r="DU12" s="170"/>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75" t="s">
        <v>6</v>
      </c>
      <c r="D13" s="128"/>
      <c r="E13" s="177" t="s">
        <v>36</v>
      </c>
      <c r="F13" s="151" t="s">
        <v>7</v>
      </c>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3"/>
      <c r="BN13" s="151" t="s">
        <v>25</v>
      </c>
      <c r="BO13" s="152"/>
      <c r="BP13" s="152"/>
      <c r="BQ13" s="152"/>
      <c r="BR13" s="152"/>
      <c r="BS13" s="152"/>
      <c r="BT13" s="152"/>
      <c r="BU13" s="152"/>
      <c r="BV13" s="152"/>
      <c r="BW13" s="152"/>
      <c r="BX13" s="152"/>
      <c r="BY13" s="152"/>
      <c r="BZ13" s="152"/>
      <c r="CA13" s="152"/>
      <c r="CB13" s="152"/>
      <c r="CC13" s="152"/>
      <c r="CD13" s="152"/>
      <c r="CE13" s="152"/>
      <c r="CF13" s="152"/>
      <c r="CG13" s="152"/>
      <c r="CH13" s="152"/>
      <c r="CI13" s="152"/>
      <c r="CJ13" s="152"/>
      <c r="CK13" s="152"/>
      <c r="CL13" s="152"/>
      <c r="CM13" s="152"/>
      <c r="CN13" s="152"/>
      <c r="CO13" s="152"/>
      <c r="CP13" s="152"/>
      <c r="CQ13" s="152"/>
      <c r="CR13" s="152"/>
      <c r="CS13" s="152"/>
      <c r="CT13" s="152"/>
      <c r="CU13" s="152"/>
      <c r="CV13" s="152"/>
      <c r="CW13" s="152"/>
      <c r="CX13" s="152"/>
      <c r="CY13" s="152"/>
      <c r="CZ13" s="152"/>
      <c r="DA13" s="152"/>
      <c r="DB13" s="152"/>
      <c r="DC13" s="152"/>
      <c r="DD13" s="152"/>
      <c r="DE13" s="152"/>
      <c r="DF13" s="152"/>
      <c r="DG13" s="152"/>
      <c r="DH13" s="152"/>
      <c r="DI13" s="152"/>
      <c r="DJ13" s="152"/>
      <c r="DK13" s="152"/>
      <c r="DL13" s="152"/>
      <c r="DM13" s="152"/>
      <c r="DN13" s="152"/>
      <c r="DO13" s="152"/>
      <c r="DP13" s="152"/>
      <c r="DQ13" s="152"/>
      <c r="DR13" s="152"/>
      <c r="DS13" s="152"/>
      <c r="DT13" s="152"/>
      <c r="DU13" s="153"/>
      <c r="DV13" s="151" t="s">
        <v>16</v>
      </c>
      <c r="DW13" s="152"/>
      <c r="DX13" s="152"/>
      <c r="DY13" s="152"/>
      <c r="DZ13" s="152"/>
      <c r="EA13" s="152"/>
      <c r="EB13" s="152"/>
      <c r="EC13" s="152"/>
      <c r="ED13" s="152"/>
      <c r="EE13" s="152"/>
      <c r="EF13" s="152"/>
      <c r="EG13" s="152"/>
      <c r="EH13" s="152"/>
      <c r="EI13" s="152"/>
      <c r="EJ13" s="152"/>
      <c r="EK13" s="152"/>
      <c r="EL13" s="152"/>
      <c r="EM13" s="152"/>
      <c r="EN13" s="152"/>
      <c r="EO13" s="152"/>
      <c r="EP13" s="152"/>
      <c r="EQ13" s="152"/>
      <c r="ER13" s="152"/>
      <c r="ES13" s="152"/>
      <c r="ET13" s="152"/>
      <c r="EU13" s="152"/>
      <c r="EV13" s="152"/>
      <c r="EW13" s="152"/>
      <c r="EX13" s="152"/>
      <c r="EY13" s="152"/>
      <c r="EZ13" s="152"/>
      <c r="FA13" s="152"/>
      <c r="FB13" s="152"/>
      <c r="FC13" s="152"/>
      <c r="FD13" s="152"/>
      <c r="FE13" s="152"/>
      <c r="FF13" s="152"/>
      <c r="FG13" s="152"/>
      <c r="FH13" s="152"/>
      <c r="FI13" s="152"/>
      <c r="FJ13" s="152"/>
      <c r="FK13" s="152"/>
      <c r="FL13" s="152"/>
      <c r="FM13" s="152"/>
      <c r="FN13" s="152"/>
      <c r="FO13" s="152"/>
      <c r="FP13" s="152"/>
      <c r="FQ13" s="152"/>
      <c r="FR13" s="152"/>
      <c r="FS13" s="152"/>
      <c r="FT13" s="152"/>
      <c r="FU13" s="152"/>
      <c r="FV13" s="152"/>
      <c r="FW13" s="152"/>
      <c r="FX13" s="152"/>
      <c r="FY13" s="152"/>
      <c r="FZ13" s="152"/>
      <c r="GA13" s="152"/>
      <c r="GB13" s="152"/>
      <c r="GC13" s="153"/>
      <c r="GD13" s="75"/>
    </row>
    <row r="14" spans="1:186" ht="12.75" customHeight="1" thickBot="1" x14ac:dyDescent="0.35">
      <c r="B14" s="53"/>
      <c r="C14" s="176"/>
      <c r="D14" s="129"/>
      <c r="E14" s="178"/>
      <c r="F14" s="87"/>
      <c r="G14" s="88"/>
      <c r="H14" s="88"/>
      <c r="I14" s="88"/>
      <c r="J14" s="154" t="s">
        <v>31</v>
      </c>
      <c r="K14" s="154"/>
      <c r="L14" s="154"/>
      <c r="M14" s="154"/>
      <c r="N14" s="88"/>
      <c r="O14" s="88"/>
      <c r="P14" s="155" t="s">
        <v>21</v>
      </c>
      <c r="Q14" s="155"/>
      <c r="R14" s="155"/>
      <c r="S14" s="155"/>
      <c r="T14" s="112"/>
      <c r="U14" s="112"/>
      <c r="V14" s="154" t="s">
        <v>32</v>
      </c>
      <c r="W14" s="154"/>
      <c r="X14" s="154"/>
      <c r="Y14" s="154"/>
      <c r="Z14" s="88"/>
      <c r="AA14" s="88"/>
      <c r="AB14" s="155" t="s">
        <v>22</v>
      </c>
      <c r="AC14" s="155"/>
      <c r="AD14" s="155"/>
      <c r="AE14" s="155"/>
      <c r="AF14" s="112"/>
      <c r="AG14" s="112"/>
      <c r="AH14" s="154" t="s">
        <v>33</v>
      </c>
      <c r="AI14" s="154"/>
      <c r="AJ14" s="154"/>
      <c r="AK14" s="154"/>
      <c r="AL14" s="88"/>
      <c r="AM14" s="88"/>
      <c r="AN14" s="155" t="s">
        <v>23</v>
      </c>
      <c r="AO14" s="155"/>
      <c r="AP14" s="155"/>
      <c r="AQ14" s="155"/>
      <c r="AR14" s="112"/>
      <c r="AS14" s="112"/>
      <c r="AT14" s="154" t="s">
        <v>34</v>
      </c>
      <c r="AU14" s="154"/>
      <c r="AV14" s="154"/>
      <c r="AW14" s="154"/>
      <c r="AX14" s="88"/>
      <c r="AY14" s="88"/>
      <c r="AZ14" s="155" t="s">
        <v>24</v>
      </c>
      <c r="BA14" s="155"/>
      <c r="BB14" s="155"/>
      <c r="BC14" s="155"/>
      <c r="BD14" s="112"/>
      <c r="BE14" s="112"/>
      <c r="BF14" s="154" t="s">
        <v>35</v>
      </c>
      <c r="BG14" s="154"/>
      <c r="BH14" s="154"/>
      <c r="BI14" s="154"/>
      <c r="BJ14" s="88"/>
      <c r="BK14" s="88"/>
      <c r="BL14" s="88"/>
      <c r="BM14" s="89"/>
      <c r="BN14" s="87"/>
      <c r="BO14" s="88"/>
      <c r="BP14" s="88"/>
      <c r="BQ14" s="88"/>
      <c r="BR14" s="154" t="s">
        <v>31</v>
      </c>
      <c r="BS14" s="154"/>
      <c r="BT14" s="154"/>
      <c r="BU14" s="154"/>
      <c r="BV14" s="88"/>
      <c r="BW14" s="88"/>
      <c r="BX14" s="155" t="s">
        <v>21</v>
      </c>
      <c r="BY14" s="155"/>
      <c r="BZ14" s="155"/>
      <c r="CA14" s="155"/>
      <c r="CB14" s="112"/>
      <c r="CC14" s="112"/>
      <c r="CD14" s="154" t="s">
        <v>32</v>
      </c>
      <c r="CE14" s="154"/>
      <c r="CF14" s="154"/>
      <c r="CG14" s="154"/>
      <c r="CH14" s="88"/>
      <c r="CI14" s="88"/>
      <c r="CJ14" s="155" t="s">
        <v>22</v>
      </c>
      <c r="CK14" s="155"/>
      <c r="CL14" s="155"/>
      <c r="CM14" s="155"/>
      <c r="CN14" s="112"/>
      <c r="CO14" s="112"/>
      <c r="CP14" s="154" t="s">
        <v>33</v>
      </c>
      <c r="CQ14" s="154"/>
      <c r="CR14" s="154"/>
      <c r="CS14" s="154"/>
      <c r="CT14" s="88"/>
      <c r="CU14" s="88"/>
      <c r="CV14" s="155" t="s">
        <v>23</v>
      </c>
      <c r="CW14" s="155"/>
      <c r="CX14" s="155"/>
      <c r="CY14" s="155"/>
      <c r="CZ14" s="112"/>
      <c r="DA14" s="112"/>
      <c r="DB14" s="154" t="s">
        <v>34</v>
      </c>
      <c r="DC14" s="154"/>
      <c r="DD14" s="154"/>
      <c r="DE14" s="154"/>
      <c r="DF14" s="88"/>
      <c r="DG14" s="88"/>
      <c r="DH14" s="155" t="s">
        <v>24</v>
      </c>
      <c r="DI14" s="155"/>
      <c r="DJ14" s="155"/>
      <c r="DK14" s="155"/>
      <c r="DL14" s="112"/>
      <c r="DM14" s="112"/>
      <c r="DN14" s="154" t="s">
        <v>35</v>
      </c>
      <c r="DO14" s="154"/>
      <c r="DP14" s="154"/>
      <c r="DQ14" s="154"/>
      <c r="DR14" s="88"/>
      <c r="DS14" s="88"/>
      <c r="DT14" s="88"/>
      <c r="DU14" s="89"/>
      <c r="DV14" s="87"/>
      <c r="DW14" s="88"/>
      <c r="DX14" s="88"/>
      <c r="DY14" s="88"/>
      <c r="DZ14" s="154" t="s">
        <v>31</v>
      </c>
      <c r="EA14" s="154"/>
      <c r="EB14" s="154"/>
      <c r="EC14" s="154"/>
      <c r="ED14" s="88"/>
      <c r="EE14" s="88"/>
      <c r="EF14" s="155" t="s">
        <v>21</v>
      </c>
      <c r="EG14" s="155"/>
      <c r="EH14" s="155"/>
      <c r="EI14" s="155"/>
      <c r="EJ14" s="112"/>
      <c r="EK14" s="112"/>
      <c r="EL14" s="154" t="s">
        <v>32</v>
      </c>
      <c r="EM14" s="154"/>
      <c r="EN14" s="154"/>
      <c r="EO14" s="154"/>
      <c r="EP14" s="88"/>
      <c r="EQ14" s="88"/>
      <c r="ER14" s="155" t="s">
        <v>22</v>
      </c>
      <c r="ES14" s="155"/>
      <c r="ET14" s="155"/>
      <c r="EU14" s="155"/>
      <c r="EV14" s="112"/>
      <c r="EW14" s="112"/>
      <c r="EX14" s="154" t="s">
        <v>33</v>
      </c>
      <c r="EY14" s="154"/>
      <c r="EZ14" s="154"/>
      <c r="FA14" s="154"/>
      <c r="FB14" s="88"/>
      <c r="FC14" s="88"/>
      <c r="FD14" s="155" t="s">
        <v>23</v>
      </c>
      <c r="FE14" s="155"/>
      <c r="FF14" s="155"/>
      <c r="FG14" s="155"/>
      <c r="FH14" s="112"/>
      <c r="FI14" s="112"/>
      <c r="FJ14" s="154" t="s">
        <v>34</v>
      </c>
      <c r="FK14" s="154"/>
      <c r="FL14" s="154"/>
      <c r="FM14" s="154"/>
      <c r="FN14" s="88"/>
      <c r="FO14" s="88"/>
      <c r="FP14" s="155" t="s">
        <v>24</v>
      </c>
      <c r="FQ14" s="155"/>
      <c r="FR14" s="155"/>
      <c r="FS14" s="155"/>
      <c r="FT14" s="112"/>
      <c r="FU14" s="112"/>
      <c r="FV14" s="154" t="s">
        <v>35</v>
      </c>
      <c r="FW14" s="154"/>
      <c r="FX14" s="154"/>
      <c r="FY14" s="154"/>
      <c r="FZ14" s="88"/>
      <c r="GA14" s="88"/>
      <c r="GB14" s="88"/>
      <c r="GC14" s="89"/>
      <c r="GD14" s="75"/>
    </row>
    <row r="15" spans="1:186" ht="20.149999999999999" customHeight="1" x14ac:dyDescent="0.25">
      <c r="A15" s="84" t="s">
        <v>17</v>
      </c>
      <c r="B15" s="53" t="str">
        <f>IF(LEN(C15)=0,"",C15)</f>
        <v/>
      </c>
      <c r="C15" s="160"/>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61"/>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60"/>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61"/>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60"/>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62"/>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60"/>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62"/>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60"/>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62"/>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60"/>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61"/>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60"/>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61"/>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60"/>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61"/>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60"/>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61"/>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60"/>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61"/>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60"/>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62"/>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60"/>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61"/>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60"/>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62"/>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60"/>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61"/>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60"/>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61"/>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60"/>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62"/>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60"/>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61"/>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60"/>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61"/>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60"/>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62"/>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60"/>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61"/>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60"/>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62"/>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60"/>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61"/>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60"/>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61"/>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60"/>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62"/>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60"/>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61"/>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60"/>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61"/>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60"/>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62"/>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60"/>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61"/>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60"/>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62"/>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60"/>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61"/>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60"/>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61"/>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60"/>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62"/>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60"/>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61"/>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60"/>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61"/>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60"/>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62"/>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60"/>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61"/>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60"/>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62"/>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60"/>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61"/>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60"/>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61"/>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60"/>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62"/>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56" t="s">
        <v>8</v>
      </c>
      <c r="D95" s="15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58"/>
      <c r="D96" s="15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63" t="s">
        <v>9</v>
      </c>
      <c r="D97" s="164"/>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65"/>
      <c r="D98" s="166"/>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88900</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88900</xdr:rowOff>
              </from>
              <to>
                <xdr:col>3</xdr:col>
                <xdr:colOff>425450</xdr:colOff>
                <xdr:row>0</xdr:row>
                <xdr:rowOff>584200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21"/>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10</v>
      </c>
      <c r="C2" s="148"/>
      <c r="D2" s="141" t="s">
        <v>14</v>
      </c>
      <c r="E2" s="142">
        <v>45443</v>
      </c>
      <c r="F2" s="143"/>
      <c r="G2" s="39"/>
    </row>
    <row r="3" spans="1:7" s="40" customFormat="1" ht="30" customHeight="1" thickBot="1" x14ac:dyDescent="0.3">
      <c r="A3" s="63" t="s">
        <v>4</v>
      </c>
      <c r="B3" s="145" t="s">
        <v>37</v>
      </c>
      <c r="C3" s="144"/>
      <c r="D3" s="63" t="s">
        <v>12</v>
      </c>
      <c r="E3" s="189" t="s">
        <v>13</v>
      </c>
      <c r="F3" s="190"/>
      <c r="G3" s="39"/>
    </row>
    <row r="4" spans="1:7" s="44" customFormat="1" ht="50" x14ac:dyDescent="0.25">
      <c r="A4" s="41" t="s">
        <v>125</v>
      </c>
      <c r="B4" s="42">
        <v>4</v>
      </c>
      <c r="C4" s="136" t="str">
        <f xml:space="preserve"> IF(B4="","",setValueToTime(B4))</f>
        <v>0h20min</v>
      </c>
      <c r="D4" s="43" t="s">
        <v>126</v>
      </c>
      <c r="E4" s="191"/>
      <c r="F4" s="192"/>
      <c r="G4" s="3"/>
    </row>
    <row r="5" spans="1:7" s="44" customFormat="1" ht="12.5" x14ac:dyDescent="0.25">
      <c r="A5" s="45"/>
      <c r="B5" s="46"/>
      <c r="C5" s="137" t="str">
        <f t="shared" ref="C5:C11" si="0" xml:space="preserve"> IF(B5="","",setValueToTime(B5))</f>
        <v/>
      </c>
      <c r="D5" s="47"/>
      <c r="E5" s="183"/>
      <c r="F5" s="184"/>
      <c r="G5" s="3"/>
    </row>
    <row r="6" spans="1:7" s="44" customFormat="1" ht="12.5" x14ac:dyDescent="0.25">
      <c r="A6" s="45"/>
      <c r="B6" s="46"/>
      <c r="C6" s="137" t="str">
        <f t="shared" si="0"/>
        <v/>
      </c>
      <c r="D6" s="47"/>
      <c r="E6" s="183"/>
      <c r="F6" s="184"/>
      <c r="G6" s="3"/>
    </row>
    <row r="7" spans="1:7" s="44" customFormat="1" ht="12.5" x14ac:dyDescent="0.25">
      <c r="A7" s="45"/>
      <c r="B7" s="46"/>
      <c r="C7" s="137"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2.5" x14ac:dyDescent="0.25">
      <c r="A10" s="46"/>
      <c r="B10" s="46"/>
      <c r="C10" s="138" t="str">
        <f t="shared" si="0"/>
        <v/>
      </c>
      <c r="D10" s="47"/>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4</v>
      </c>
      <c r="C12" s="146" t="str">
        <f xml:space="preserve"> setValueToTime(B12)</f>
        <v>0h20min</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9</v>
      </c>
      <c r="C14" s="148"/>
      <c r="D14" s="141" t="s">
        <v>14</v>
      </c>
      <c r="E14" s="142">
        <v>45441</v>
      </c>
      <c r="F14" s="143"/>
      <c r="G14" s="39"/>
    </row>
    <row r="15" spans="1:7" s="40" customFormat="1" ht="30" customHeight="1" thickBot="1" x14ac:dyDescent="0.3">
      <c r="A15" s="63" t="s">
        <v>4</v>
      </c>
      <c r="B15" s="145" t="s">
        <v>37</v>
      </c>
      <c r="C15" s="144"/>
      <c r="D15" s="63" t="s">
        <v>12</v>
      </c>
      <c r="E15" s="189" t="s">
        <v>13</v>
      </c>
      <c r="F15" s="190"/>
      <c r="G15" s="39"/>
    </row>
    <row r="16" spans="1:7" s="44" customFormat="1" ht="12.5" x14ac:dyDescent="0.25">
      <c r="A16" s="41" t="s">
        <v>121</v>
      </c>
      <c r="B16" s="42">
        <v>18</v>
      </c>
      <c r="C16" s="136" t="str">
        <f xml:space="preserve"> IF(B16="","",setValueToTime(B16))</f>
        <v>1h30min</v>
      </c>
      <c r="D16" s="43" t="s">
        <v>122</v>
      </c>
      <c r="E16" s="191"/>
      <c r="F16" s="192"/>
      <c r="G16" s="3"/>
    </row>
    <row r="17" spans="1:7" s="44" customFormat="1" ht="37.5" x14ac:dyDescent="0.25">
      <c r="A17" s="45" t="s">
        <v>123</v>
      </c>
      <c r="B17" s="46">
        <v>9</v>
      </c>
      <c r="C17" s="137" t="str">
        <f t="shared" ref="C17:C23" si="1" xml:space="preserve"> IF(B17="","",setValueToTime(B17))</f>
        <v>0h45min</v>
      </c>
      <c r="D17" s="47" t="s">
        <v>124</v>
      </c>
      <c r="E17" s="183"/>
      <c r="F17" s="184"/>
      <c r="G17" s="3"/>
    </row>
    <row r="18" spans="1:7" s="44" customFormat="1" ht="12.5" x14ac:dyDescent="0.25">
      <c r="A18" s="45"/>
      <c r="B18" s="46"/>
      <c r="C18" s="137" t="str">
        <f t="shared" si="1"/>
        <v/>
      </c>
      <c r="D18" s="47"/>
      <c r="E18" s="183"/>
      <c r="F18" s="184"/>
      <c r="G18" s="3"/>
    </row>
    <row r="19" spans="1:7" s="44" customFormat="1" ht="12.5" x14ac:dyDescent="0.25">
      <c r="A19" s="45"/>
      <c r="B19" s="46"/>
      <c r="C19" s="137" t="str">
        <f t="shared" si="1"/>
        <v/>
      </c>
      <c r="D19" s="47"/>
      <c r="E19" s="183"/>
      <c r="F19" s="184"/>
      <c r="G19" s="3"/>
    </row>
    <row r="20" spans="1:7" s="44" customFormat="1" ht="12.5" x14ac:dyDescent="0.25">
      <c r="A20" s="46"/>
      <c r="B20" s="46"/>
      <c r="C20" s="138" t="str">
        <f t="shared" si="1"/>
        <v/>
      </c>
      <c r="D20" s="47"/>
      <c r="E20" s="183"/>
      <c r="F20" s="184"/>
      <c r="G20" s="3"/>
    </row>
    <row r="21" spans="1:7" s="44" customFormat="1" ht="12.5" x14ac:dyDescent="0.25">
      <c r="A21" s="46"/>
      <c r="B21" s="46"/>
      <c r="C21" s="138" t="str">
        <f t="shared" si="1"/>
        <v/>
      </c>
      <c r="D21" s="47"/>
      <c r="E21" s="183"/>
      <c r="F21" s="184"/>
      <c r="G21" s="3"/>
    </row>
    <row r="22" spans="1:7" s="44" customFormat="1" ht="12.5" x14ac:dyDescent="0.25">
      <c r="A22" s="46"/>
      <c r="B22" s="46"/>
      <c r="C22" s="138" t="str">
        <f t="shared" si="1"/>
        <v/>
      </c>
      <c r="D22" s="47"/>
      <c r="E22" s="183"/>
      <c r="F22" s="184"/>
      <c r="G22" s="3"/>
    </row>
    <row r="23" spans="1:7" s="44" customFormat="1" ht="13" thickBot="1" x14ac:dyDescent="0.3">
      <c r="A23" s="48"/>
      <c r="B23" s="48"/>
      <c r="C23" s="139" t="str">
        <f t="shared" si="1"/>
        <v/>
      </c>
      <c r="D23" s="49"/>
      <c r="E23" s="185"/>
      <c r="F23" s="186"/>
      <c r="G23" s="3"/>
    </row>
    <row r="24" spans="1:7" s="44" customFormat="1" ht="13" thickBot="1" x14ac:dyDescent="0.3">
      <c r="A24" s="146" t="s">
        <v>26</v>
      </c>
      <c r="B24" s="68">
        <f>SUM(B16:B23)</f>
        <v>27</v>
      </c>
      <c r="C24" s="146" t="str">
        <f xml:space="preserve"> setValueToTime(B24)</f>
        <v>2h15min</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8</v>
      </c>
      <c r="C26" s="148"/>
      <c r="D26" s="141" t="s">
        <v>14</v>
      </c>
      <c r="E26" s="142">
        <v>45437</v>
      </c>
      <c r="F26" s="143"/>
      <c r="G26" s="39"/>
    </row>
    <row r="27" spans="1:7" s="40" customFormat="1" ht="30" customHeight="1" thickBot="1" x14ac:dyDescent="0.3">
      <c r="A27" s="63" t="s">
        <v>4</v>
      </c>
      <c r="B27" s="145" t="s">
        <v>37</v>
      </c>
      <c r="C27" s="144"/>
      <c r="D27" s="63" t="s">
        <v>12</v>
      </c>
      <c r="E27" s="189" t="s">
        <v>13</v>
      </c>
      <c r="F27" s="190"/>
      <c r="G27" s="39"/>
    </row>
    <row r="28" spans="1:7" s="44" customFormat="1" ht="75" x14ac:dyDescent="0.25">
      <c r="A28" s="41" t="s">
        <v>117</v>
      </c>
      <c r="B28" s="42">
        <v>9</v>
      </c>
      <c r="C28" s="136" t="str">
        <f xml:space="preserve"> IF(B28="","",setValueToTime(B28))</f>
        <v>0h45min</v>
      </c>
      <c r="D28" s="43" t="s">
        <v>118</v>
      </c>
      <c r="E28" s="191"/>
      <c r="F28" s="192"/>
      <c r="G28" s="3"/>
    </row>
    <row r="29" spans="1:7" s="44" customFormat="1" ht="25" x14ac:dyDescent="0.25">
      <c r="A29" s="45" t="s">
        <v>119</v>
      </c>
      <c r="B29" s="46">
        <v>3</v>
      </c>
      <c r="C29" s="137" t="str">
        <f t="shared" ref="C29:C35" si="2" xml:space="preserve"> IF(B29="","",setValueToTime(B29))</f>
        <v>0h15min</v>
      </c>
      <c r="D29" s="47" t="s">
        <v>120</v>
      </c>
      <c r="E29" s="183"/>
      <c r="F29" s="184"/>
      <c r="G29" s="3"/>
    </row>
    <row r="30" spans="1:7" s="44" customFormat="1" ht="12.5" x14ac:dyDescent="0.25">
      <c r="A30" s="45"/>
      <c r="B30" s="46"/>
      <c r="C30" s="137" t="str">
        <f t="shared" si="2"/>
        <v/>
      </c>
      <c r="D30" s="47"/>
      <c r="E30" s="183"/>
      <c r="F30" s="184"/>
      <c r="G30" s="3"/>
    </row>
    <row r="31" spans="1:7" s="44" customFormat="1" ht="12.5" x14ac:dyDescent="0.25">
      <c r="A31" s="45"/>
      <c r="B31" s="46"/>
      <c r="C31" s="137" t="str">
        <f t="shared" si="2"/>
        <v/>
      </c>
      <c r="D31" s="47"/>
      <c r="E31" s="183"/>
      <c r="F31" s="184"/>
      <c r="G31" s="3"/>
    </row>
    <row r="32" spans="1:7" s="44" customFormat="1" ht="12.5" x14ac:dyDescent="0.25">
      <c r="A32" s="46"/>
      <c r="B32" s="46"/>
      <c r="C32" s="138" t="str">
        <f t="shared" si="2"/>
        <v/>
      </c>
      <c r="D32" s="47"/>
      <c r="E32" s="183"/>
      <c r="F32" s="184"/>
      <c r="G32" s="3"/>
    </row>
    <row r="33" spans="1:7" s="44" customFormat="1" ht="12.5" x14ac:dyDescent="0.25">
      <c r="A33" s="46"/>
      <c r="B33" s="46"/>
      <c r="C33" s="138" t="str">
        <f t="shared" si="2"/>
        <v/>
      </c>
      <c r="D33" s="47"/>
      <c r="E33" s="183"/>
      <c r="F33" s="184"/>
      <c r="G33" s="3"/>
    </row>
    <row r="34" spans="1:7" s="44" customFormat="1" ht="12.5" x14ac:dyDescent="0.25">
      <c r="A34" s="46"/>
      <c r="B34" s="46"/>
      <c r="C34" s="138" t="str">
        <f t="shared" si="2"/>
        <v/>
      </c>
      <c r="D34" s="47"/>
      <c r="E34" s="183"/>
      <c r="F34" s="184"/>
      <c r="G34" s="3"/>
    </row>
    <row r="35" spans="1:7" s="44" customFormat="1" ht="13" thickBot="1" x14ac:dyDescent="0.3">
      <c r="A35" s="48"/>
      <c r="B35" s="48"/>
      <c r="C35" s="139" t="str">
        <f t="shared" si="2"/>
        <v/>
      </c>
      <c r="D35" s="49"/>
      <c r="E35" s="185"/>
      <c r="F35" s="186"/>
      <c r="G35" s="3"/>
    </row>
    <row r="36" spans="1:7" s="44" customFormat="1" ht="13" thickBot="1" x14ac:dyDescent="0.3">
      <c r="A36" s="146" t="s">
        <v>26</v>
      </c>
      <c r="B36" s="68">
        <f>SUM(B28:B35)</f>
        <v>12</v>
      </c>
      <c r="C36" s="146" t="str">
        <f xml:space="preserve"> setValueToTime(B36)</f>
        <v>1h</v>
      </c>
      <c r="D36" s="105"/>
      <c r="E36" s="187"/>
      <c r="F36" s="188"/>
      <c r="G36" s="3"/>
    </row>
    <row r="37" spans="1:7" s="44" customFormat="1" ht="12" thickBot="1" x14ac:dyDescent="0.3">
      <c r="A37" s="62"/>
      <c r="B37" s="62"/>
      <c r="C37" s="62"/>
      <c r="D37" s="62"/>
      <c r="E37" s="62"/>
      <c r="F37" s="62"/>
      <c r="G37" s="3"/>
    </row>
    <row r="38" spans="1:7" s="40" customFormat="1" ht="30" customHeight="1" thickBot="1" x14ac:dyDescent="0.3">
      <c r="A38" s="140" t="s">
        <v>11</v>
      </c>
      <c r="B38" s="148">
        <v>7</v>
      </c>
      <c r="C38" s="148"/>
      <c r="D38" s="141" t="s">
        <v>14</v>
      </c>
      <c r="E38" s="142">
        <v>45436</v>
      </c>
      <c r="F38" s="143"/>
      <c r="G38" s="39"/>
    </row>
    <row r="39" spans="1:7" s="40" customFormat="1" ht="30" customHeight="1" thickBot="1" x14ac:dyDescent="0.3">
      <c r="A39" s="63" t="s">
        <v>4</v>
      </c>
      <c r="B39" s="145" t="s">
        <v>37</v>
      </c>
      <c r="C39" s="144"/>
      <c r="D39" s="63" t="s">
        <v>12</v>
      </c>
      <c r="E39" s="189" t="s">
        <v>13</v>
      </c>
      <c r="F39" s="190"/>
      <c r="G39" s="39"/>
    </row>
    <row r="40" spans="1:7" s="44" customFormat="1" ht="50" x14ac:dyDescent="0.25">
      <c r="A40" s="41" t="s">
        <v>111</v>
      </c>
      <c r="B40" s="42">
        <v>3</v>
      </c>
      <c r="C40" s="136" t="str">
        <f xml:space="preserve"> IF(B40="","",setValueToTime(B40))</f>
        <v>0h15min</v>
      </c>
      <c r="D40" s="43" t="s">
        <v>112</v>
      </c>
      <c r="E40" s="191"/>
      <c r="F40" s="192"/>
      <c r="G40" s="3"/>
    </row>
    <row r="41" spans="1:7" s="44" customFormat="1" ht="25" x14ac:dyDescent="0.25">
      <c r="A41" s="45" t="s">
        <v>113</v>
      </c>
      <c r="B41" s="46">
        <v>2</v>
      </c>
      <c r="C41" s="137" t="str">
        <f t="shared" ref="C41:C47" si="3" xml:space="preserve"> IF(B41="","",setValueToTime(B41))</f>
        <v>0h10min</v>
      </c>
      <c r="D41" s="47" t="s">
        <v>115</v>
      </c>
      <c r="E41" s="183"/>
      <c r="F41" s="184"/>
      <c r="G41" s="3"/>
    </row>
    <row r="42" spans="1:7" s="44" customFormat="1" ht="37.5" x14ac:dyDescent="0.25">
      <c r="A42" s="45" t="s">
        <v>114</v>
      </c>
      <c r="B42" s="46">
        <v>4</v>
      </c>
      <c r="C42" s="137" t="str">
        <f t="shared" si="3"/>
        <v>0h20min</v>
      </c>
      <c r="D42" s="47" t="s">
        <v>116</v>
      </c>
      <c r="E42" s="183"/>
      <c r="F42" s="184"/>
      <c r="G42" s="3"/>
    </row>
    <row r="43" spans="1:7" s="44" customFormat="1" ht="12.5" x14ac:dyDescent="0.25">
      <c r="A43" s="45"/>
      <c r="B43" s="46"/>
      <c r="C43" s="137" t="str">
        <f t="shared" si="3"/>
        <v/>
      </c>
      <c r="D43" s="47"/>
      <c r="E43" s="183"/>
      <c r="F43" s="184"/>
      <c r="G43" s="3"/>
    </row>
    <row r="44" spans="1:7" s="44" customFormat="1" ht="12.5" x14ac:dyDescent="0.25">
      <c r="A44" s="46"/>
      <c r="B44" s="46"/>
      <c r="C44" s="138" t="str">
        <f t="shared" si="3"/>
        <v/>
      </c>
      <c r="D44" s="47"/>
      <c r="E44" s="183"/>
      <c r="F44" s="184"/>
      <c r="G44" s="3"/>
    </row>
    <row r="45" spans="1:7" s="44" customFormat="1" ht="12.5" x14ac:dyDescent="0.25">
      <c r="A45" s="46"/>
      <c r="B45" s="46"/>
      <c r="C45" s="138" t="str">
        <f t="shared" si="3"/>
        <v/>
      </c>
      <c r="D45" s="47"/>
      <c r="E45" s="183"/>
      <c r="F45" s="184"/>
      <c r="G45" s="3"/>
    </row>
    <row r="46" spans="1:7" s="44" customFormat="1" ht="12.5" x14ac:dyDescent="0.25">
      <c r="A46" s="46"/>
      <c r="B46" s="46"/>
      <c r="C46" s="138" t="str">
        <f t="shared" si="3"/>
        <v/>
      </c>
      <c r="D46" s="47"/>
      <c r="E46" s="183"/>
      <c r="F46" s="184"/>
      <c r="G46" s="3"/>
    </row>
    <row r="47" spans="1:7" s="44" customFormat="1" ht="13" thickBot="1" x14ac:dyDescent="0.3">
      <c r="A47" s="48"/>
      <c r="B47" s="48"/>
      <c r="C47" s="139" t="str">
        <f t="shared" si="3"/>
        <v/>
      </c>
      <c r="D47" s="49"/>
      <c r="E47" s="185"/>
      <c r="F47" s="186"/>
      <c r="G47" s="3"/>
    </row>
    <row r="48" spans="1:7" s="44" customFormat="1" ht="13" thickBot="1" x14ac:dyDescent="0.3">
      <c r="A48" s="146" t="s">
        <v>26</v>
      </c>
      <c r="B48" s="68">
        <f>SUM(B40:B47)</f>
        <v>9</v>
      </c>
      <c r="C48" s="146" t="str">
        <f xml:space="preserve"> setValueToTime(B48)</f>
        <v>0h45min</v>
      </c>
      <c r="D48" s="105"/>
      <c r="E48" s="187"/>
      <c r="F48" s="188"/>
      <c r="G48" s="3"/>
    </row>
    <row r="49" spans="1:7" s="44" customFormat="1" ht="12" thickBot="1" x14ac:dyDescent="0.3">
      <c r="A49" s="62"/>
      <c r="B49" s="62"/>
      <c r="C49" s="62"/>
      <c r="D49" s="62"/>
      <c r="E49" s="62"/>
      <c r="F49" s="62"/>
      <c r="G49" s="3"/>
    </row>
    <row r="50" spans="1:7" s="40" customFormat="1" ht="30" customHeight="1" thickBot="1" x14ac:dyDescent="0.3">
      <c r="A50" s="140" t="s">
        <v>11</v>
      </c>
      <c r="B50" s="148">
        <v>6</v>
      </c>
      <c r="C50" s="148"/>
      <c r="D50" s="141" t="s">
        <v>14</v>
      </c>
      <c r="E50" s="142">
        <v>45427</v>
      </c>
      <c r="F50" s="143"/>
      <c r="G50" s="39"/>
    </row>
    <row r="51" spans="1:7" s="40" customFormat="1" ht="30" customHeight="1" thickBot="1" x14ac:dyDescent="0.3">
      <c r="A51" s="63" t="s">
        <v>4</v>
      </c>
      <c r="B51" s="145" t="s">
        <v>37</v>
      </c>
      <c r="C51" s="144"/>
      <c r="D51" s="63" t="s">
        <v>12</v>
      </c>
      <c r="E51" s="189" t="s">
        <v>13</v>
      </c>
      <c r="F51" s="190"/>
      <c r="G51" s="39"/>
    </row>
    <row r="52" spans="1:7" s="44" customFormat="1" ht="37.5" x14ac:dyDescent="0.25">
      <c r="A52" s="41" t="s">
        <v>97</v>
      </c>
      <c r="B52" s="42">
        <v>6</v>
      </c>
      <c r="C52" s="136" t="str">
        <f xml:space="preserve"> IF(B52="","",setValueToTime(B52))</f>
        <v>0h30min</v>
      </c>
      <c r="D52" s="43" t="s">
        <v>98</v>
      </c>
      <c r="E52" s="191"/>
      <c r="F52" s="192"/>
      <c r="G52" s="3"/>
    </row>
    <row r="53" spans="1:7" s="44" customFormat="1" ht="37.5" x14ac:dyDescent="0.25">
      <c r="A53" s="45" t="s">
        <v>99</v>
      </c>
      <c r="B53" s="46">
        <v>6</v>
      </c>
      <c r="C53" s="137" t="str">
        <f t="shared" ref="C53:C59" si="4" xml:space="preserve"> IF(B53="","",setValueToTime(B53))</f>
        <v>0h30min</v>
      </c>
      <c r="D53" s="47" t="s">
        <v>100</v>
      </c>
      <c r="E53" s="183"/>
      <c r="F53" s="184"/>
      <c r="G53" s="3"/>
    </row>
    <row r="54" spans="1:7" s="44" customFormat="1" ht="37.5" x14ac:dyDescent="0.25">
      <c r="A54" s="45" t="s">
        <v>101</v>
      </c>
      <c r="B54" s="46">
        <v>6</v>
      </c>
      <c r="C54" s="137" t="str">
        <f t="shared" si="4"/>
        <v>0h30min</v>
      </c>
      <c r="D54" s="47" t="s">
        <v>102</v>
      </c>
      <c r="E54" s="183"/>
      <c r="F54" s="184"/>
      <c r="G54" s="3"/>
    </row>
    <row r="55" spans="1:7" s="44" customFormat="1" ht="25" x14ac:dyDescent="0.25">
      <c r="A55" s="45" t="s">
        <v>103</v>
      </c>
      <c r="B55" s="46">
        <v>5</v>
      </c>
      <c r="C55" s="137" t="str">
        <f t="shared" si="4"/>
        <v>0h25min</v>
      </c>
      <c r="D55" s="47" t="s">
        <v>106</v>
      </c>
      <c r="E55" s="183"/>
      <c r="F55" s="184"/>
      <c r="G55" s="3"/>
    </row>
    <row r="56" spans="1:7" s="44" customFormat="1" ht="25" x14ac:dyDescent="0.25">
      <c r="A56" s="46" t="s">
        <v>104</v>
      </c>
      <c r="B56" s="46">
        <v>3</v>
      </c>
      <c r="C56" s="138" t="str">
        <f t="shared" si="4"/>
        <v>0h15min</v>
      </c>
      <c r="D56" s="47" t="s">
        <v>107</v>
      </c>
      <c r="E56" s="183"/>
      <c r="F56" s="184"/>
      <c r="G56" s="3"/>
    </row>
    <row r="57" spans="1:7" s="44" customFormat="1" ht="25" x14ac:dyDescent="0.25">
      <c r="A57" s="46" t="s">
        <v>105</v>
      </c>
      <c r="B57" s="46">
        <v>4</v>
      </c>
      <c r="C57" s="138" t="str">
        <f t="shared" si="4"/>
        <v>0h20min</v>
      </c>
      <c r="D57" s="47" t="s">
        <v>108</v>
      </c>
      <c r="E57" s="183"/>
      <c r="F57" s="184"/>
      <c r="G57" s="3"/>
    </row>
    <row r="58" spans="1:7" s="44" customFormat="1" ht="25" x14ac:dyDescent="0.25">
      <c r="A58" s="46" t="s">
        <v>109</v>
      </c>
      <c r="B58" s="46">
        <v>4</v>
      </c>
      <c r="C58" s="138" t="str">
        <f t="shared" si="4"/>
        <v>0h20min</v>
      </c>
      <c r="D58" s="47" t="s">
        <v>110</v>
      </c>
      <c r="E58" s="183"/>
      <c r="F58" s="184"/>
      <c r="G58" s="3"/>
    </row>
    <row r="59" spans="1:7" s="44" customFormat="1" ht="13" thickBot="1" x14ac:dyDescent="0.3">
      <c r="A59" s="48"/>
      <c r="B59" s="48"/>
      <c r="C59" s="139" t="str">
        <f t="shared" si="4"/>
        <v/>
      </c>
      <c r="D59" s="49"/>
      <c r="E59" s="185"/>
      <c r="F59" s="186"/>
      <c r="G59" s="3"/>
    </row>
    <row r="60" spans="1:7" s="44" customFormat="1" ht="13" thickBot="1" x14ac:dyDescent="0.3">
      <c r="A60" s="146" t="s">
        <v>26</v>
      </c>
      <c r="B60" s="68">
        <f>SUM(B52:B59)</f>
        <v>34</v>
      </c>
      <c r="C60" s="146" t="str">
        <f xml:space="preserve"> setValueToTime(B60)</f>
        <v>2h50min</v>
      </c>
      <c r="D60" s="105"/>
      <c r="E60" s="187"/>
      <c r="F60" s="188"/>
      <c r="G60" s="3"/>
    </row>
    <row r="61" spans="1:7" s="44" customFormat="1" ht="12" thickBot="1" x14ac:dyDescent="0.3">
      <c r="A61" s="62"/>
      <c r="B61" s="62"/>
      <c r="C61" s="62"/>
      <c r="D61" s="62"/>
      <c r="E61" s="62"/>
      <c r="F61" s="62"/>
      <c r="G61" s="3"/>
    </row>
    <row r="62" spans="1:7" s="40" customFormat="1" ht="30" customHeight="1" thickBot="1" x14ac:dyDescent="0.3">
      <c r="A62" s="140" t="s">
        <v>11</v>
      </c>
      <c r="B62" s="148">
        <v>5</v>
      </c>
      <c r="C62" s="148"/>
      <c r="D62" s="141" t="s">
        <v>14</v>
      </c>
      <c r="E62" s="142">
        <v>45427</v>
      </c>
      <c r="F62" s="143"/>
      <c r="G62" s="39"/>
    </row>
    <row r="63" spans="1:7" s="40" customFormat="1" ht="30" customHeight="1" thickBot="1" x14ac:dyDescent="0.3">
      <c r="A63" s="63" t="s">
        <v>4</v>
      </c>
      <c r="B63" s="145" t="s">
        <v>37</v>
      </c>
      <c r="C63" s="144"/>
      <c r="D63" s="63" t="s">
        <v>12</v>
      </c>
      <c r="E63" s="189" t="s">
        <v>13</v>
      </c>
      <c r="F63" s="190"/>
      <c r="G63" s="39"/>
    </row>
    <row r="64" spans="1:7" s="44" customFormat="1" ht="12.5" x14ac:dyDescent="0.25">
      <c r="A64" s="41" t="s">
        <v>81</v>
      </c>
      <c r="B64" s="42">
        <v>9</v>
      </c>
      <c r="C64" s="136" t="str">
        <f xml:space="preserve"> IF(B64="","",setValueToTime(B64))</f>
        <v>0h45min</v>
      </c>
      <c r="D64" s="43" t="s">
        <v>82</v>
      </c>
      <c r="E64" s="191"/>
      <c r="F64" s="192"/>
      <c r="G64" s="3"/>
    </row>
    <row r="65" spans="1:7" s="44" customFormat="1" ht="25" x14ac:dyDescent="0.25">
      <c r="A65" s="45" t="s">
        <v>83</v>
      </c>
      <c r="B65" s="46">
        <v>3</v>
      </c>
      <c r="C65" s="137" t="str">
        <f t="shared" ref="C65:C71" si="5" xml:space="preserve"> IF(B65="","",setValueToTime(B65))</f>
        <v>0h15min</v>
      </c>
      <c r="D65" s="47" t="s">
        <v>84</v>
      </c>
      <c r="E65" s="183"/>
      <c r="F65" s="184"/>
      <c r="G65" s="3"/>
    </row>
    <row r="66" spans="1:7" s="44" customFormat="1" ht="25" x14ac:dyDescent="0.25">
      <c r="A66" s="45" t="s">
        <v>85</v>
      </c>
      <c r="B66" s="46">
        <v>6</v>
      </c>
      <c r="C66" s="137" t="str">
        <f t="shared" si="5"/>
        <v>0h30min</v>
      </c>
      <c r="D66" s="47" t="s">
        <v>96</v>
      </c>
      <c r="E66" s="183"/>
      <c r="F66" s="184"/>
      <c r="G66" s="3"/>
    </row>
    <row r="67" spans="1:7" s="44" customFormat="1" ht="37.5" x14ac:dyDescent="0.25">
      <c r="A67" s="45" t="s">
        <v>86</v>
      </c>
      <c r="B67" s="46">
        <v>4</v>
      </c>
      <c r="C67" s="137" t="str">
        <f t="shared" si="5"/>
        <v>0h20min</v>
      </c>
      <c r="D67" s="47" t="s">
        <v>87</v>
      </c>
      <c r="E67" s="183"/>
      <c r="F67" s="184"/>
      <c r="G67" s="3"/>
    </row>
    <row r="68" spans="1:7" s="44" customFormat="1" ht="12.5" x14ac:dyDescent="0.25">
      <c r="A68" s="46" t="s">
        <v>88</v>
      </c>
      <c r="B68" s="46">
        <v>3</v>
      </c>
      <c r="C68" s="138" t="str">
        <f t="shared" si="5"/>
        <v>0h15min</v>
      </c>
      <c r="D68" s="47" t="s">
        <v>89</v>
      </c>
      <c r="E68" s="183"/>
      <c r="F68" s="184"/>
      <c r="G68" s="3"/>
    </row>
    <row r="69" spans="1:7" s="44" customFormat="1" ht="37.5" x14ac:dyDescent="0.25">
      <c r="A69" s="46" t="s">
        <v>90</v>
      </c>
      <c r="B69" s="46">
        <v>4</v>
      </c>
      <c r="C69" s="138" t="str">
        <f t="shared" si="5"/>
        <v>0h20min</v>
      </c>
      <c r="D69" s="47" t="s">
        <v>91</v>
      </c>
      <c r="E69" s="183"/>
      <c r="F69" s="184"/>
      <c r="G69" s="3"/>
    </row>
    <row r="70" spans="1:7" s="44" customFormat="1" ht="25" x14ac:dyDescent="0.25">
      <c r="A70" s="46" t="s">
        <v>92</v>
      </c>
      <c r="B70" s="46">
        <v>3</v>
      </c>
      <c r="C70" s="138" t="str">
        <f t="shared" si="5"/>
        <v>0h15min</v>
      </c>
      <c r="D70" s="47" t="s">
        <v>93</v>
      </c>
      <c r="E70" s="183"/>
      <c r="F70" s="184"/>
      <c r="G70" s="3"/>
    </row>
    <row r="71" spans="1:7" s="44" customFormat="1" ht="75.5" thickBot="1" x14ac:dyDescent="0.3">
      <c r="A71" s="48" t="s">
        <v>94</v>
      </c>
      <c r="B71" s="48">
        <v>3</v>
      </c>
      <c r="C71" s="139" t="str">
        <f t="shared" si="5"/>
        <v>0h15min</v>
      </c>
      <c r="D71" s="49" t="s">
        <v>95</v>
      </c>
      <c r="E71" s="185"/>
      <c r="F71" s="186"/>
      <c r="G71" s="3"/>
    </row>
    <row r="72" spans="1:7" s="44" customFormat="1" ht="13" thickBot="1" x14ac:dyDescent="0.3">
      <c r="A72" s="146" t="s">
        <v>26</v>
      </c>
      <c r="B72" s="68">
        <f>SUM(B64:B71)</f>
        <v>35</v>
      </c>
      <c r="C72" s="146" t="str">
        <f xml:space="preserve"> setValueToTime(B72)</f>
        <v>2h55min</v>
      </c>
      <c r="D72" s="105"/>
      <c r="E72" s="187"/>
      <c r="F72" s="188"/>
      <c r="G72" s="3"/>
    </row>
    <row r="73" spans="1:7" s="44" customFormat="1" ht="12" thickBot="1" x14ac:dyDescent="0.3">
      <c r="A73" s="62"/>
      <c r="B73" s="62"/>
      <c r="C73" s="62"/>
      <c r="D73" s="62"/>
      <c r="E73" s="62"/>
      <c r="F73" s="62"/>
      <c r="G73" s="3"/>
    </row>
    <row r="74" spans="1:7" s="40" customFormat="1" ht="30" customHeight="1" thickBot="1" x14ac:dyDescent="0.3">
      <c r="A74" s="140" t="s">
        <v>11</v>
      </c>
      <c r="B74" s="148">
        <v>4</v>
      </c>
      <c r="C74" s="148"/>
      <c r="D74" s="141" t="s">
        <v>14</v>
      </c>
      <c r="E74" s="142">
        <v>45420</v>
      </c>
      <c r="F74" s="143"/>
      <c r="G74" s="39"/>
    </row>
    <row r="75" spans="1:7" s="40" customFormat="1" ht="30" customHeight="1" thickBot="1" x14ac:dyDescent="0.3">
      <c r="A75" s="63" t="s">
        <v>4</v>
      </c>
      <c r="B75" s="145" t="s">
        <v>37</v>
      </c>
      <c r="C75" s="144"/>
      <c r="D75" s="63" t="s">
        <v>12</v>
      </c>
      <c r="E75" s="189" t="s">
        <v>13</v>
      </c>
      <c r="F75" s="190"/>
      <c r="G75" s="39"/>
    </row>
    <row r="76" spans="1:7" s="44" customFormat="1" ht="58.5" customHeight="1" x14ac:dyDescent="0.25">
      <c r="A76" s="41" t="s">
        <v>72</v>
      </c>
      <c r="B76" s="42">
        <v>12</v>
      </c>
      <c r="C76" s="136" t="str">
        <f xml:space="preserve"> IF(B76="","",setValueToTime(B76))</f>
        <v>1h</v>
      </c>
      <c r="D76" s="43" t="s">
        <v>73</v>
      </c>
      <c r="E76" s="194" t="s">
        <v>79</v>
      </c>
      <c r="F76" s="192"/>
      <c r="G76" s="3"/>
    </row>
    <row r="77" spans="1:7" s="44" customFormat="1" ht="25" x14ac:dyDescent="0.25">
      <c r="A77" s="45" t="s">
        <v>74</v>
      </c>
      <c r="B77" s="46">
        <v>3</v>
      </c>
      <c r="C77" s="137" t="str">
        <f t="shared" ref="C77:C83" si="6" xml:space="preserve"> IF(B77="","",setValueToTime(B77))</f>
        <v>0h15min</v>
      </c>
      <c r="D77" s="47" t="s">
        <v>75</v>
      </c>
      <c r="E77" s="183"/>
      <c r="F77" s="184"/>
      <c r="G77" s="3"/>
    </row>
    <row r="78" spans="1:7" s="44" customFormat="1" ht="12.5" x14ac:dyDescent="0.25">
      <c r="A78" s="45" t="s">
        <v>76</v>
      </c>
      <c r="B78" s="46">
        <v>9</v>
      </c>
      <c r="C78" s="137" t="str">
        <f t="shared" si="6"/>
        <v>0h45min</v>
      </c>
      <c r="D78" s="47" t="s">
        <v>80</v>
      </c>
      <c r="E78" s="183"/>
      <c r="F78" s="184"/>
      <c r="G78" s="3"/>
    </row>
    <row r="79" spans="1:7" s="44" customFormat="1" ht="25" x14ac:dyDescent="0.25">
      <c r="A79" s="45" t="s">
        <v>77</v>
      </c>
      <c r="B79" s="46">
        <v>12</v>
      </c>
      <c r="C79" s="137" t="str">
        <f t="shared" si="6"/>
        <v>1h</v>
      </c>
      <c r="D79" s="47" t="s">
        <v>78</v>
      </c>
      <c r="E79" s="183"/>
      <c r="F79" s="184"/>
      <c r="G79" s="3"/>
    </row>
    <row r="80" spans="1:7" s="44" customFormat="1" ht="12.5" x14ac:dyDescent="0.25">
      <c r="A80" s="46"/>
      <c r="B80" s="46"/>
      <c r="C80" s="138" t="str">
        <f t="shared" si="6"/>
        <v/>
      </c>
      <c r="D80" s="47"/>
      <c r="E80" s="183"/>
      <c r="F80" s="184"/>
      <c r="G80" s="3"/>
    </row>
    <row r="81" spans="1:7" s="44" customFormat="1" ht="12.5" x14ac:dyDescent="0.25">
      <c r="A81" s="46"/>
      <c r="B81" s="46"/>
      <c r="C81" s="138" t="str">
        <f t="shared" si="6"/>
        <v/>
      </c>
      <c r="D81" s="47"/>
      <c r="E81" s="183"/>
      <c r="F81" s="184"/>
      <c r="G81" s="3"/>
    </row>
    <row r="82" spans="1:7" s="44" customFormat="1" ht="12.5" x14ac:dyDescent="0.25">
      <c r="A82" s="46"/>
      <c r="B82" s="46"/>
      <c r="C82" s="138" t="str">
        <f t="shared" si="6"/>
        <v/>
      </c>
      <c r="D82" s="47"/>
      <c r="E82" s="183"/>
      <c r="F82" s="184"/>
      <c r="G82" s="3"/>
    </row>
    <row r="83" spans="1:7" s="44" customFormat="1" ht="13" thickBot="1" x14ac:dyDescent="0.3">
      <c r="A83" s="48"/>
      <c r="B83" s="48"/>
      <c r="C83" s="139" t="str">
        <f t="shared" si="6"/>
        <v/>
      </c>
      <c r="D83" s="49"/>
      <c r="E83" s="185"/>
      <c r="F83" s="186"/>
      <c r="G83" s="3"/>
    </row>
    <row r="84" spans="1:7" s="44" customFormat="1" ht="13" thickBot="1" x14ac:dyDescent="0.3">
      <c r="A84" s="146" t="s">
        <v>26</v>
      </c>
      <c r="B84" s="68">
        <f>SUM(B76:B83)</f>
        <v>36</v>
      </c>
      <c r="C84" s="146" t="str">
        <f xml:space="preserve"> setValueToTime(B84)</f>
        <v>3h</v>
      </c>
      <c r="D84" s="105"/>
      <c r="E84" s="187"/>
      <c r="F84" s="188"/>
      <c r="G84" s="3"/>
    </row>
    <row r="85" spans="1:7" s="44" customFormat="1" ht="12" thickBot="1" x14ac:dyDescent="0.3">
      <c r="A85" s="62"/>
      <c r="B85" s="62"/>
      <c r="C85" s="62"/>
      <c r="D85" s="62"/>
      <c r="E85" s="62"/>
      <c r="F85" s="62"/>
      <c r="G85" s="3"/>
    </row>
    <row r="86" spans="1:7" s="40" customFormat="1" ht="30" customHeight="1" thickBot="1" x14ac:dyDescent="0.3">
      <c r="A86" s="140" t="s">
        <v>11</v>
      </c>
      <c r="B86" s="148">
        <v>3</v>
      </c>
      <c r="C86" s="148"/>
      <c r="D86" s="141" t="s">
        <v>14</v>
      </c>
      <c r="E86" s="142">
        <v>45413</v>
      </c>
      <c r="F86" s="143"/>
      <c r="G86" s="39"/>
    </row>
    <row r="87" spans="1:7" s="40" customFormat="1" ht="30" customHeight="1" thickBot="1" x14ac:dyDescent="0.3">
      <c r="A87" s="63" t="s">
        <v>4</v>
      </c>
      <c r="B87" s="145" t="s">
        <v>37</v>
      </c>
      <c r="C87" s="144"/>
      <c r="D87" s="63" t="s">
        <v>12</v>
      </c>
      <c r="E87" s="189" t="s">
        <v>13</v>
      </c>
      <c r="F87" s="190"/>
      <c r="G87" s="39"/>
    </row>
    <row r="88" spans="1:7" s="44" customFormat="1" ht="37.5" x14ac:dyDescent="0.25">
      <c r="A88" s="41" t="s">
        <v>62</v>
      </c>
      <c r="B88" s="42">
        <v>6</v>
      </c>
      <c r="C88" s="136" t="str">
        <f xml:space="preserve"> IF(B88="","",setValueToTime(B88))</f>
        <v>0h30min</v>
      </c>
      <c r="D88" s="43" t="s">
        <v>63</v>
      </c>
      <c r="E88" s="191"/>
      <c r="F88" s="192"/>
      <c r="G88" s="3"/>
    </row>
    <row r="89" spans="1:7" s="44" customFormat="1" ht="62.5" x14ac:dyDescent="0.25">
      <c r="A89" s="45" t="s">
        <v>64</v>
      </c>
      <c r="B89" s="46">
        <v>6</v>
      </c>
      <c r="C89" s="137" t="str">
        <f t="shared" ref="C89:C95" si="7" xml:space="preserve"> IF(B89="","",setValueToTime(B89))</f>
        <v>0h30min</v>
      </c>
      <c r="D89" s="47" t="s">
        <v>65</v>
      </c>
      <c r="E89" s="183"/>
      <c r="F89" s="184"/>
      <c r="G89" s="3"/>
    </row>
    <row r="90" spans="1:7" s="44" customFormat="1" ht="50" x14ac:dyDescent="0.25">
      <c r="A90" s="45" t="s">
        <v>66</v>
      </c>
      <c r="B90" s="46">
        <v>12</v>
      </c>
      <c r="C90" s="137" t="str">
        <f t="shared" si="7"/>
        <v>1h</v>
      </c>
      <c r="D90" s="47" t="s">
        <v>67</v>
      </c>
      <c r="E90" s="183"/>
      <c r="F90" s="184"/>
      <c r="G90" s="3"/>
    </row>
    <row r="91" spans="1:7" s="44" customFormat="1" ht="50" x14ac:dyDescent="0.25">
      <c r="A91" s="45" t="s">
        <v>68</v>
      </c>
      <c r="B91" s="46">
        <v>9</v>
      </c>
      <c r="C91" s="137" t="str">
        <f t="shared" si="7"/>
        <v>0h45min</v>
      </c>
      <c r="D91" s="47" t="s">
        <v>69</v>
      </c>
      <c r="E91" s="183"/>
      <c r="F91" s="184"/>
      <c r="G91" s="3"/>
    </row>
    <row r="92" spans="1:7" s="44" customFormat="1" ht="25" x14ac:dyDescent="0.25">
      <c r="A92" s="46" t="s">
        <v>71</v>
      </c>
      <c r="B92" s="46">
        <v>3</v>
      </c>
      <c r="C92" s="138" t="str">
        <f t="shared" si="7"/>
        <v>0h15min</v>
      </c>
      <c r="D92" s="47" t="s">
        <v>70</v>
      </c>
      <c r="E92" s="183"/>
      <c r="F92" s="184"/>
      <c r="G92" s="3"/>
    </row>
    <row r="93" spans="1:7" s="44" customFormat="1" ht="12.5" x14ac:dyDescent="0.25">
      <c r="A93" s="46"/>
      <c r="B93" s="46"/>
      <c r="C93" s="138" t="str">
        <f t="shared" si="7"/>
        <v/>
      </c>
      <c r="D93" s="47"/>
      <c r="E93" s="183"/>
      <c r="F93" s="184"/>
      <c r="G93" s="3"/>
    </row>
    <row r="94" spans="1:7" s="44" customFormat="1" ht="12.5" x14ac:dyDescent="0.25">
      <c r="A94" s="46"/>
      <c r="B94" s="46"/>
      <c r="C94" s="138" t="str">
        <f t="shared" si="7"/>
        <v/>
      </c>
      <c r="D94" s="47"/>
      <c r="E94" s="183"/>
      <c r="F94" s="184"/>
      <c r="G94" s="3"/>
    </row>
    <row r="95" spans="1:7" s="44" customFormat="1" ht="13" thickBot="1" x14ac:dyDescent="0.3">
      <c r="A95" s="48"/>
      <c r="B95" s="48"/>
      <c r="C95" s="139" t="str">
        <f t="shared" si="7"/>
        <v/>
      </c>
      <c r="D95" s="49"/>
      <c r="E95" s="185"/>
      <c r="F95" s="186"/>
      <c r="G95" s="3"/>
    </row>
    <row r="96" spans="1:7" s="44" customFormat="1" ht="13" thickBot="1" x14ac:dyDescent="0.3">
      <c r="A96" s="146" t="s">
        <v>26</v>
      </c>
      <c r="B96" s="68">
        <f>SUM(B88:B95)</f>
        <v>36</v>
      </c>
      <c r="C96" s="146" t="str">
        <f xml:space="preserve"> setValueToTime(B96)</f>
        <v>3h</v>
      </c>
      <c r="D96" s="105"/>
      <c r="E96" s="187"/>
      <c r="F96" s="188"/>
      <c r="G96" s="3"/>
    </row>
    <row r="97" spans="1:7" s="44" customFormat="1" ht="12" thickBot="1" x14ac:dyDescent="0.3">
      <c r="A97" s="62"/>
      <c r="B97" s="62"/>
      <c r="C97" s="62"/>
      <c r="D97" s="62"/>
      <c r="E97" s="62"/>
      <c r="F97" s="62"/>
      <c r="G97" s="3"/>
    </row>
    <row r="98" spans="1:7" s="40" customFormat="1" ht="30" customHeight="1" thickBot="1" x14ac:dyDescent="0.3">
      <c r="A98" s="140" t="s">
        <v>11</v>
      </c>
      <c r="B98" s="148">
        <v>2</v>
      </c>
      <c r="C98" s="148"/>
      <c r="D98" s="141" t="s">
        <v>14</v>
      </c>
      <c r="E98" s="142">
        <v>45406</v>
      </c>
      <c r="F98" s="143"/>
      <c r="G98" s="39"/>
    </row>
    <row r="99" spans="1:7" s="40" customFormat="1" ht="30" customHeight="1" thickBot="1" x14ac:dyDescent="0.3">
      <c r="A99" s="63" t="s">
        <v>4</v>
      </c>
      <c r="B99" s="145" t="s">
        <v>37</v>
      </c>
      <c r="C99" s="144"/>
      <c r="D99" s="63" t="s">
        <v>12</v>
      </c>
      <c r="E99" s="189" t="s">
        <v>13</v>
      </c>
      <c r="F99" s="190"/>
      <c r="G99" s="39"/>
    </row>
    <row r="100" spans="1:7" s="44" customFormat="1" ht="25" x14ac:dyDescent="0.25">
      <c r="A100" s="41" t="s">
        <v>55</v>
      </c>
      <c r="B100" s="42">
        <v>12</v>
      </c>
      <c r="C100" s="136" t="str">
        <f xml:space="preserve"> IF(B100="","",setValueToTime(B100))</f>
        <v>1h</v>
      </c>
      <c r="D100" s="43" t="s">
        <v>56</v>
      </c>
      <c r="E100" s="191"/>
      <c r="F100" s="192"/>
      <c r="G100" s="3"/>
    </row>
    <row r="101" spans="1:7" s="44" customFormat="1" ht="62.5" x14ac:dyDescent="0.25">
      <c r="A101" s="45" t="s">
        <v>57</v>
      </c>
      <c r="B101" s="46">
        <v>9</v>
      </c>
      <c r="C101" s="137" t="str">
        <f t="shared" ref="C101:C107" si="8" xml:space="preserve"> IF(B101="","",setValueToTime(B101))</f>
        <v>0h45min</v>
      </c>
      <c r="D101" s="47" t="s">
        <v>58</v>
      </c>
      <c r="E101" s="183"/>
      <c r="F101" s="184"/>
      <c r="G101" s="3"/>
    </row>
    <row r="102" spans="1:7" s="44" customFormat="1" ht="50" x14ac:dyDescent="0.25">
      <c r="A102" s="45" t="s">
        <v>59</v>
      </c>
      <c r="B102" s="46">
        <v>15</v>
      </c>
      <c r="C102" s="137" t="str">
        <f t="shared" si="8"/>
        <v>1h15min</v>
      </c>
      <c r="D102" s="47" t="s">
        <v>61</v>
      </c>
      <c r="E102" s="193" t="s">
        <v>60</v>
      </c>
      <c r="F102" s="184"/>
      <c r="G102" s="3"/>
    </row>
    <row r="103" spans="1:7" s="44" customFormat="1" ht="12.5" x14ac:dyDescent="0.25">
      <c r="A103" s="45"/>
      <c r="B103" s="46"/>
      <c r="C103" s="137" t="str">
        <f t="shared" si="8"/>
        <v/>
      </c>
      <c r="D103" s="47"/>
      <c r="E103" s="183"/>
      <c r="F103" s="184"/>
      <c r="G103" s="3"/>
    </row>
    <row r="104" spans="1:7" s="44" customFormat="1" ht="12.5" x14ac:dyDescent="0.25">
      <c r="A104" s="46"/>
      <c r="B104" s="46"/>
      <c r="C104" s="138" t="str">
        <f t="shared" si="8"/>
        <v/>
      </c>
      <c r="D104" s="47"/>
      <c r="E104" s="183"/>
      <c r="F104" s="184"/>
      <c r="G104" s="3"/>
    </row>
    <row r="105" spans="1:7" s="44" customFormat="1" ht="12.5" x14ac:dyDescent="0.25">
      <c r="A105" s="46"/>
      <c r="B105" s="46"/>
      <c r="C105" s="138" t="str">
        <f t="shared" si="8"/>
        <v/>
      </c>
      <c r="D105" s="47"/>
      <c r="E105" s="183"/>
      <c r="F105" s="184"/>
      <c r="G105" s="3"/>
    </row>
    <row r="106" spans="1:7" s="44" customFormat="1" ht="12.5" x14ac:dyDescent="0.25">
      <c r="A106" s="46"/>
      <c r="B106" s="46"/>
      <c r="C106" s="138" t="str">
        <f t="shared" si="8"/>
        <v/>
      </c>
      <c r="D106" s="47"/>
      <c r="E106" s="183"/>
      <c r="F106" s="184"/>
      <c r="G106" s="3"/>
    </row>
    <row r="107" spans="1:7" s="44" customFormat="1" ht="13" thickBot="1" x14ac:dyDescent="0.3">
      <c r="A107" s="48"/>
      <c r="B107" s="48"/>
      <c r="C107" s="139" t="str">
        <f t="shared" si="8"/>
        <v/>
      </c>
      <c r="D107" s="49"/>
      <c r="E107" s="185"/>
      <c r="F107" s="186"/>
      <c r="G107" s="3"/>
    </row>
    <row r="108" spans="1:7" s="44" customFormat="1" ht="13" thickBot="1" x14ac:dyDescent="0.3">
      <c r="A108" s="146" t="s">
        <v>26</v>
      </c>
      <c r="B108" s="68">
        <f>SUM(B100:B107)</f>
        <v>36</v>
      </c>
      <c r="C108" s="146" t="str">
        <f xml:space="preserve"> setValueToTime(B108)</f>
        <v>3h</v>
      </c>
      <c r="D108" s="105"/>
      <c r="E108" s="187"/>
      <c r="F108" s="188"/>
      <c r="G108" s="3"/>
    </row>
    <row r="109" spans="1:7" s="44" customFormat="1" ht="12" thickBot="1" x14ac:dyDescent="0.3">
      <c r="A109" s="62"/>
      <c r="B109" s="62"/>
      <c r="C109" s="62"/>
      <c r="D109" s="62"/>
      <c r="E109" s="62"/>
      <c r="F109" s="62"/>
      <c r="G109" s="3"/>
    </row>
    <row r="110" spans="1:7" s="40" customFormat="1" ht="30" customHeight="1" thickBot="1" x14ac:dyDescent="0.3">
      <c r="A110" s="140" t="s">
        <v>11</v>
      </c>
      <c r="B110" s="148">
        <v>1</v>
      </c>
      <c r="C110" s="148"/>
      <c r="D110" s="141" t="s">
        <v>14</v>
      </c>
      <c r="E110" s="142">
        <v>45399</v>
      </c>
      <c r="F110" s="143"/>
      <c r="G110" s="39"/>
    </row>
    <row r="111" spans="1:7" s="40" customFormat="1" ht="30" customHeight="1" thickBot="1" x14ac:dyDescent="0.3">
      <c r="A111" s="63" t="s">
        <v>4</v>
      </c>
      <c r="B111" s="145" t="s">
        <v>37</v>
      </c>
      <c r="C111" s="144"/>
      <c r="D111" s="63" t="s">
        <v>12</v>
      </c>
      <c r="E111" s="189" t="s">
        <v>13</v>
      </c>
      <c r="F111" s="190"/>
      <c r="G111" s="39"/>
    </row>
    <row r="112" spans="1:7" s="44" customFormat="1" ht="37.5" x14ac:dyDescent="0.25">
      <c r="A112" s="41" t="s">
        <v>45</v>
      </c>
      <c r="B112" s="42">
        <v>9</v>
      </c>
      <c r="C112" s="136" t="str">
        <f xml:space="preserve"> IF(B112="","",setValueToTime(B112))</f>
        <v>0h45min</v>
      </c>
      <c r="D112" s="43" t="s">
        <v>46</v>
      </c>
      <c r="E112" s="191"/>
      <c r="F112" s="192"/>
      <c r="G112" s="3"/>
    </row>
    <row r="113" spans="1:7" s="44" customFormat="1" ht="37.5" x14ac:dyDescent="0.25">
      <c r="A113" s="45" t="s">
        <v>47</v>
      </c>
      <c r="B113" s="46">
        <v>9</v>
      </c>
      <c r="C113" s="137" t="str">
        <f t="shared" ref="C113:C119" si="9" xml:space="preserve"> IF(B113="","",setValueToTime(B113))</f>
        <v>0h45min</v>
      </c>
      <c r="D113" s="47" t="s">
        <v>48</v>
      </c>
      <c r="E113" s="183"/>
      <c r="F113" s="184"/>
      <c r="G113" s="3"/>
    </row>
    <row r="114" spans="1:7" s="44" customFormat="1" ht="36" customHeight="1" x14ac:dyDescent="0.25">
      <c r="A114" s="45" t="s">
        <v>50</v>
      </c>
      <c r="B114" s="46">
        <v>9</v>
      </c>
      <c r="C114" s="137" t="str">
        <f xml:space="preserve"> IF(B114="","",setValueToTime(B114))</f>
        <v>0h45min</v>
      </c>
      <c r="D114" s="47" t="s">
        <v>53</v>
      </c>
      <c r="E114" s="193" t="s">
        <v>52</v>
      </c>
      <c r="F114" s="184"/>
      <c r="G114" s="3"/>
    </row>
    <row r="115" spans="1:7" s="44" customFormat="1" ht="50" x14ac:dyDescent="0.25">
      <c r="A115" s="45" t="s">
        <v>51</v>
      </c>
      <c r="B115" s="46">
        <v>9</v>
      </c>
      <c r="C115" s="137" t="str">
        <f xml:space="preserve"> IF(B115="","",setValueToTime(B115))</f>
        <v>0h45min</v>
      </c>
      <c r="D115" s="47" t="s">
        <v>54</v>
      </c>
      <c r="E115" s="193" t="s">
        <v>49</v>
      </c>
      <c r="F115" s="184"/>
      <c r="G115" s="3"/>
    </row>
    <row r="116" spans="1:7" s="44" customFormat="1" ht="12.5" x14ac:dyDescent="0.25">
      <c r="A116" s="46"/>
      <c r="B116" s="46"/>
      <c r="C116" s="138" t="str">
        <f t="shared" si="9"/>
        <v/>
      </c>
      <c r="D116" s="47"/>
      <c r="E116" s="183"/>
      <c r="F116" s="184"/>
      <c r="G116" s="3"/>
    </row>
    <row r="117" spans="1:7" s="44" customFormat="1" ht="12.5" x14ac:dyDescent="0.25">
      <c r="A117" s="46"/>
      <c r="B117" s="46"/>
      <c r="C117" s="138" t="str">
        <f t="shared" si="9"/>
        <v/>
      </c>
      <c r="D117" s="47"/>
      <c r="E117" s="183"/>
      <c r="F117" s="184"/>
      <c r="G117" s="3"/>
    </row>
    <row r="118" spans="1:7" s="44" customFormat="1" ht="12.5" x14ac:dyDescent="0.25">
      <c r="A118" s="46"/>
      <c r="B118" s="46"/>
      <c r="C118" s="138" t="str">
        <f t="shared" si="9"/>
        <v/>
      </c>
      <c r="D118" s="47"/>
      <c r="E118" s="183"/>
      <c r="F118" s="184"/>
      <c r="G118" s="3"/>
    </row>
    <row r="119" spans="1:7" s="44" customFormat="1" ht="13" thickBot="1" x14ac:dyDescent="0.3">
      <c r="A119" s="48"/>
      <c r="B119" s="48"/>
      <c r="C119" s="139" t="str">
        <f t="shared" si="9"/>
        <v/>
      </c>
      <c r="D119" s="49"/>
      <c r="E119" s="185"/>
      <c r="F119" s="186"/>
      <c r="G119" s="3"/>
    </row>
    <row r="120" spans="1:7" s="44" customFormat="1" ht="13" thickBot="1" x14ac:dyDescent="0.3">
      <c r="A120" s="146" t="s">
        <v>26</v>
      </c>
      <c r="B120" s="68">
        <f>SUM(B112:B119)</f>
        <v>36</v>
      </c>
      <c r="C120" s="146" t="str">
        <f xml:space="preserve"> setValueToTime(B120)</f>
        <v>3h</v>
      </c>
      <c r="D120" s="105"/>
      <c r="E120" s="187"/>
      <c r="F120" s="188"/>
      <c r="G120" s="3"/>
    </row>
    <row r="121" spans="1:7" s="44" customFormat="1" x14ac:dyDescent="0.25">
      <c r="A121" s="62"/>
      <c r="B121" s="62"/>
      <c r="C121" s="62"/>
      <c r="D121" s="62"/>
      <c r="E121" s="62"/>
      <c r="F121" s="62"/>
      <c r="G121" s="3"/>
    </row>
  </sheetData>
  <sheetProtection formatRows="0" insertRows="0" insertHyperlinks="0" deleteRows="0" selectLockedCells="1"/>
  <mergeCells count="10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80:F80"/>
    <mergeCell ref="E81:F81"/>
    <mergeCell ref="E82:F82"/>
    <mergeCell ref="E83:F83"/>
    <mergeCell ref="E84:F84"/>
    <mergeCell ref="E75:F75"/>
    <mergeCell ref="E76:F76"/>
    <mergeCell ref="E77:F77"/>
    <mergeCell ref="E78:F78"/>
    <mergeCell ref="E79:F79"/>
    <mergeCell ref="E117:F117"/>
    <mergeCell ref="E118:F118"/>
    <mergeCell ref="E119:F119"/>
    <mergeCell ref="E120:F120"/>
    <mergeCell ref="E111:F111"/>
    <mergeCell ref="E112:F112"/>
    <mergeCell ref="E113:F113"/>
    <mergeCell ref="E114:F114"/>
    <mergeCell ref="E115:F115"/>
    <mergeCell ref="E116:F116"/>
    <mergeCell ref="E99:F99"/>
    <mergeCell ref="E100:F100"/>
    <mergeCell ref="E101:F101"/>
    <mergeCell ref="E102:F102"/>
    <mergeCell ref="E103:F103"/>
    <mergeCell ref="E104:F104"/>
    <mergeCell ref="E105:F105"/>
    <mergeCell ref="E106:F106"/>
    <mergeCell ref="E107:F107"/>
    <mergeCell ref="E108:F108"/>
    <mergeCell ref="E87:F87"/>
    <mergeCell ref="E88:F88"/>
    <mergeCell ref="E89:F89"/>
    <mergeCell ref="E90:F90"/>
    <mergeCell ref="E91:F91"/>
    <mergeCell ref="E92:F92"/>
    <mergeCell ref="E93:F93"/>
    <mergeCell ref="E94:F94"/>
    <mergeCell ref="E95:F95"/>
    <mergeCell ref="E96:F96"/>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s>
  <phoneticPr fontId="0" type="noConversion"/>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12:B119 B100:B107 B88:B95 B76:B83 B64:B71 B52:B59 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20 B108 B96 B84 B72 B60 B48 B36 B24 B12" xr:uid="{FD20DB42-6E5F-412E-A8E2-A910B9673906}">
      <formula1>0</formula1>
      <formula2>60</formula2>
    </dataValidation>
    <dataValidation type="list" allowBlank="1" showInputMessage="1" showErrorMessage="1" sqref="A112:A119 A100:A107 A88:A95 A76:A83 A64:A71 A52:A59 A40:A47 A28:A35 A16:A23 A4:A11" xr:uid="{F4214AE3-BD51-4830-A202-0C539249822B}">
      <formula1>ListeTaches</formula1>
    </dataValidation>
  </dataValidations>
  <hyperlinks>
    <hyperlink ref="E114" r:id="rId1" xr:uid="{DE5C25EB-DBFB-48CD-9A18-CA90E7358E08}"/>
    <hyperlink ref="E115" r:id="rId2" xr:uid="{A5BA8772-AB6A-47AA-BC99-6177C6996A94}"/>
    <hyperlink ref="E102" r:id="rId3" xr:uid="{04F2625D-09C7-46B6-8CFE-C398A0A77C86}"/>
    <hyperlink ref="E76"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107950</xdr:colOff>
                <xdr:row>0</xdr:row>
                <xdr:rowOff>88900</xdr:rowOff>
              </from>
              <to>
                <xdr:col>1</xdr:col>
                <xdr:colOff>393700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88900</xdr:colOff>
                <xdr:row>0</xdr:row>
                <xdr:rowOff>88900</xdr:rowOff>
              </from>
              <to>
                <xdr:col>3</xdr:col>
                <xdr:colOff>889000</xdr:colOff>
                <xdr:row>0</xdr:row>
                <xdr:rowOff>565150</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7"/>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7"/>
      <c r="BD10" s="167"/>
      <c r="BE10" s="167"/>
      <c r="BF10" s="167"/>
      <c r="BG10" s="167"/>
      <c r="BH10" s="167"/>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51" t="s">
        <v>11</v>
      </c>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3"/>
      <c r="BI13" s="75"/>
    </row>
    <row r="14" spans="1:61" ht="15.5" thickBot="1" x14ac:dyDescent="0.35">
      <c r="A14" s="87"/>
      <c r="B14" s="88"/>
      <c r="C14" s="88"/>
      <c r="D14" s="88"/>
      <c r="E14" s="154" t="s">
        <v>31</v>
      </c>
      <c r="F14" s="154"/>
      <c r="G14" s="154"/>
      <c r="H14" s="154"/>
      <c r="I14" s="88"/>
      <c r="J14" s="88"/>
      <c r="K14" s="155" t="s">
        <v>21</v>
      </c>
      <c r="L14" s="155"/>
      <c r="M14" s="155"/>
      <c r="N14" s="155"/>
      <c r="O14" s="112"/>
      <c r="P14" s="112"/>
      <c r="Q14" s="154" t="s">
        <v>32</v>
      </c>
      <c r="R14" s="154"/>
      <c r="S14" s="154"/>
      <c r="T14" s="154"/>
      <c r="U14" s="88"/>
      <c r="V14" s="88"/>
      <c r="W14" s="155" t="s">
        <v>22</v>
      </c>
      <c r="X14" s="155"/>
      <c r="Y14" s="155"/>
      <c r="Z14" s="155"/>
      <c r="AA14" s="112"/>
      <c r="AB14" s="112"/>
      <c r="AC14" s="154" t="s">
        <v>33</v>
      </c>
      <c r="AD14" s="154"/>
      <c r="AE14" s="154"/>
      <c r="AF14" s="154"/>
      <c r="AG14" s="88"/>
      <c r="AH14" s="88"/>
      <c r="AI14" s="155" t="s">
        <v>23</v>
      </c>
      <c r="AJ14" s="155"/>
      <c r="AK14" s="155"/>
      <c r="AL14" s="155"/>
      <c r="AM14" s="112"/>
      <c r="AN14" s="112"/>
      <c r="AO14" s="154" t="s">
        <v>34</v>
      </c>
      <c r="AP14" s="154"/>
      <c r="AQ14" s="154"/>
      <c r="AR14" s="154"/>
      <c r="AS14" s="88"/>
      <c r="AT14" s="88"/>
      <c r="AU14" s="155" t="s">
        <v>24</v>
      </c>
      <c r="AV14" s="155"/>
      <c r="AW14" s="155"/>
      <c r="AX14" s="155"/>
      <c r="AY14" s="112"/>
      <c r="AZ14" s="112"/>
      <c r="BA14" s="154" t="s">
        <v>35</v>
      </c>
      <c r="BB14" s="154"/>
      <c r="BC14" s="154"/>
      <c r="BD14" s="15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7" t="s">
        <v>13</v>
      </c>
      <c r="F2" s="198"/>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5"/>
      <c r="F11" s="196"/>
      <c r="G11" s="3"/>
    </row>
    <row r="12" spans="1:7" s="44" customFormat="1" x14ac:dyDescent="0.25">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2024-05-31T07:14:36Z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